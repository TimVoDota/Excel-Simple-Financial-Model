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nt\Desktop\Actuary Technical Skills Course\TSC Projects expanded\"/>
    </mc:Choice>
  </mc:AlternateContent>
  <xr:revisionPtr revIDLastSave="0" documentId="13_ncr:1_{35E78F20-9F63-4C9A-8BD3-6D5CFC129FEA}" xr6:coauthVersionLast="47" xr6:coauthVersionMax="47" xr10:uidLastSave="{00000000-0000-0000-0000-000000000000}"/>
  <bookViews>
    <workbookView xWindow="-120" yWindow="-120" windowWidth="38640" windowHeight="21840" activeTab="1" xr2:uid="{00000000-000D-0000-FFFF-FFFF00000000}"/>
  </bookViews>
  <sheets>
    <sheet name="About" sheetId="6" r:id="rId1"/>
    <sheet name="Input" sheetId="13" r:id="rId2"/>
    <sheet name="Output" sheetId="14" r:id="rId3"/>
    <sheet name="FinancialModelBuild" sheetId="8" r:id="rId4"/>
    <sheet name="FinancialModelWork" sheetId="9" r:id="rId5"/>
    <sheet name="DataTable Results" sheetId="10" r:id="rId6"/>
    <sheet name="LifeInsuranceModel" sheetId="12" r:id="rId7"/>
    <sheet name="Mortality Table" sheetId="11" r:id="rId8"/>
  </sheets>
  <definedNames>
    <definedName name="_xlnm.Print_Area" localSheetId="7">'Mortality Table'!$A$1:$J$124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14" l="1"/>
  <c r="O39" i="14" s="1"/>
  <c r="P39" i="14" s="1"/>
  <c r="Q39" i="14" s="1"/>
  <c r="R39" i="14" s="1"/>
  <c r="S39" i="14" s="1"/>
  <c r="T39" i="14" s="1"/>
  <c r="U39" i="14" s="1"/>
  <c r="V39" i="14" s="1"/>
  <c r="W39" i="14" s="1"/>
  <c r="X39" i="14" s="1"/>
  <c r="Y39" i="14" s="1"/>
  <c r="Z39" i="14" s="1"/>
  <c r="AA39" i="14" s="1"/>
  <c r="AB39" i="14" s="1"/>
  <c r="AC39" i="14" s="1"/>
  <c r="AD39" i="14" s="1"/>
  <c r="AE39" i="14" s="1"/>
  <c r="AF39" i="14" s="1"/>
  <c r="AG39" i="14" s="1"/>
  <c r="AH39" i="14" s="1"/>
  <c r="AI39" i="14" s="1"/>
  <c r="AJ39" i="14" s="1"/>
  <c r="AK39" i="14" s="1"/>
  <c r="AL39" i="14" s="1"/>
  <c r="AM39" i="14" s="1"/>
  <c r="AN39" i="14" s="1"/>
  <c r="AO39" i="14" s="1"/>
  <c r="AP39" i="14" s="1"/>
  <c r="AQ39" i="14" s="1"/>
  <c r="AR39" i="14" s="1"/>
  <c r="AS39" i="14" s="1"/>
  <c r="AT39" i="14" s="1"/>
  <c r="AU39" i="14" s="1"/>
  <c r="AV39" i="14" s="1"/>
  <c r="AW39" i="14" s="1"/>
  <c r="AX39" i="14" s="1"/>
  <c r="AY39" i="14" s="1"/>
  <c r="N38" i="14"/>
  <c r="O38" i="14" s="1"/>
  <c r="P38" i="14" s="1"/>
  <c r="Q38" i="14" s="1"/>
  <c r="R38" i="14" s="1"/>
  <c r="S38" i="14" s="1"/>
  <c r="T38" i="14" s="1"/>
  <c r="U38" i="14" s="1"/>
  <c r="V38" i="14" s="1"/>
  <c r="W38" i="14" s="1"/>
  <c r="X38" i="14" s="1"/>
  <c r="Y38" i="14" s="1"/>
  <c r="Z38" i="14" s="1"/>
  <c r="AA38" i="14" s="1"/>
  <c r="AB38" i="14" s="1"/>
  <c r="AC38" i="14" s="1"/>
  <c r="AD38" i="14" s="1"/>
  <c r="AE38" i="14" s="1"/>
  <c r="AF38" i="14" s="1"/>
  <c r="AG38" i="14" s="1"/>
  <c r="AH38" i="14" s="1"/>
  <c r="AI38" i="14" s="1"/>
  <c r="AJ38" i="14" s="1"/>
  <c r="AK38" i="14" s="1"/>
  <c r="AL38" i="14" s="1"/>
  <c r="AM38" i="14" s="1"/>
  <c r="AN38" i="14" s="1"/>
  <c r="AO38" i="14" s="1"/>
  <c r="AP38" i="14" s="1"/>
  <c r="AQ38" i="14" s="1"/>
  <c r="AR38" i="14" s="1"/>
  <c r="AS38" i="14" s="1"/>
  <c r="AT38" i="14" s="1"/>
  <c r="AU38" i="14" s="1"/>
  <c r="AV38" i="14" s="1"/>
  <c r="AW38" i="14" s="1"/>
  <c r="AX38" i="14" s="1"/>
  <c r="AY38" i="14" s="1"/>
  <c r="N37" i="14"/>
  <c r="O37" i="14" s="1"/>
  <c r="P37" i="14" s="1"/>
  <c r="Q37" i="14" s="1"/>
  <c r="R37" i="14" s="1"/>
  <c r="S37" i="14" s="1"/>
  <c r="T37" i="14" s="1"/>
  <c r="U37" i="14" s="1"/>
  <c r="V37" i="14" s="1"/>
  <c r="W37" i="14" s="1"/>
  <c r="X37" i="14" s="1"/>
  <c r="Y37" i="14" s="1"/>
  <c r="Z37" i="14" s="1"/>
  <c r="AA37" i="14" s="1"/>
  <c r="AB37" i="14" s="1"/>
  <c r="AC37" i="14" s="1"/>
  <c r="AD37" i="14" s="1"/>
  <c r="AE37" i="14" s="1"/>
  <c r="AF37" i="14" s="1"/>
  <c r="AG37" i="14" s="1"/>
  <c r="AH37" i="14" s="1"/>
  <c r="AI37" i="14" s="1"/>
  <c r="AJ37" i="14" s="1"/>
  <c r="AK37" i="14" s="1"/>
  <c r="AL37" i="14" s="1"/>
  <c r="AM37" i="14" s="1"/>
  <c r="AN37" i="14" s="1"/>
  <c r="AO37" i="14" s="1"/>
  <c r="AP37" i="14" s="1"/>
  <c r="AQ37" i="14" s="1"/>
  <c r="AR37" i="14" s="1"/>
  <c r="AS37" i="14" s="1"/>
  <c r="AT37" i="14" s="1"/>
  <c r="AU37" i="14" s="1"/>
  <c r="AV37" i="14" s="1"/>
  <c r="AW37" i="14" s="1"/>
  <c r="AX37" i="14" s="1"/>
  <c r="AY37" i="14" s="1"/>
  <c r="N35" i="14"/>
  <c r="O35" i="14" s="1"/>
  <c r="P35" i="14" s="1"/>
  <c r="Q35" i="14" s="1"/>
  <c r="R35" i="14" s="1"/>
  <c r="S35" i="14" s="1"/>
  <c r="T35" i="14" s="1"/>
  <c r="U35" i="14" s="1"/>
  <c r="V35" i="14" s="1"/>
  <c r="W35" i="14" s="1"/>
  <c r="X35" i="14" s="1"/>
  <c r="Y35" i="14" s="1"/>
  <c r="Z35" i="14" s="1"/>
  <c r="AA35" i="14" s="1"/>
  <c r="AB35" i="14" s="1"/>
  <c r="AC35" i="14" s="1"/>
  <c r="AD35" i="14" s="1"/>
  <c r="AE35" i="14" s="1"/>
  <c r="AF35" i="14" s="1"/>
  <c r="AG35" i="14" s="1"/>
  <c r="AH35" i="14" s="1"/>
  <c r="AI35" i="14" s="1"/>
  <c r="AJ35" i="14" s="1"/>
  <c r="AK35" i="14" s="1"/>
  <c r="AL35" i="14" s="1"/>
  <c r="AM35" i="14" s="1"/>
  <c r="AN35" i="14" s="1"/>
  <c r="AO35" i="14" s="1"/>
  <c r="AP35" i="14" s="1"/>
  <c r="AQ35" i="14" s="1"/>
  <c r="AR35" i="14" s="1"/>
  <c r="AS35" i="14" s="1"/>
  <c r="AT35" i="14" s="1"/>
  <c r="AU35" i="14" s="1"/>
  <c r="AV35" i="14" s="1"/>
  <c r="AW35" i="14" s="1"/>
  <c r="AX35" i="14" s="1"/>
  <c r="AY35" i="14" s="1"/>
  <c r="N34" i="14"/>
  <c r="O34" i="14" s="1"/>
  <c r="P34" i="14" s="1"/>
  <c r="Q34" i="14" s="1"/>
  <c r="R34" i="14" s="1"/>
  <c r="S34" i="14" s="1"/>
  <c r="T34" i="14" s="1"/>
  <c r="U34" i="14" s="1"/>
  <c r="V34" i="14" s="1"/>
  <c r="W34" i="14" s="1"/>
  <c r="X34" i="14" s="1"/>
  <c r="Y34" i="14" s="1"/>
  <c r="Z34" i="14" s="1"/>
  <c r="AA34" i="14" s="1"/>
  <c r="AB34" i="14" s="1"/>
  <c r="AC34" i="14" s="1"/>
  <c r="AD34" i="14" s="1"/>
  <c r="AE34" i="14" s="1"/>
  <c r="AF34" i="14" s="1"/>
  <c r="AG34" i="14" s="1"/>
  <c r="AH34" i="14" s="1"/>
  <c r="AI34" i="14" s="1"/>
  <c r="AJ34" i="14" s="1"/>
  <c r="AK34" i="14" s="1"/>
  <c r="AL34" i="14" s="1"/>
  <c r="AM34" i="14" s="1"/>
  <c r="AN34" i="14" s="1"/>
  <c r="AO34" i="14" s="1"/>
  <c r="AP34" i="14" s="1"/>
  <c r="AQ34" i="14" s="1"/>
  <c r="AR34" i="14" s="1"/>
  <c r="AS34" i="14" s="1"/>
  <c r="AT34" i="14" s="1"/>
  <c r="AU34" i="14" s="1"/>
  <c r="AV34" i="14" s="1"/>
  <c r="AW34" i="14" s="1"/>
  <c r="AX34" i="14" s="1"/>
  <c r="AY34" i="14" s="1"/>
  <c r="L37" i="14"/>
  <c r="K37" i="14"/>
  <c r="J37" i="14"/>
  <c r="I37" i="14"/>
  <c r="H37" i="14"/>
  <c r="L35" i="14"/>
  <c r="K35" i="14"/>
  <c r="J35" i="14"/>
  <c r="I35" i="14"/>
  <c r="H35" i="14"/>
  <c r="L34" i="14"/>
  <c r="K34" i="14"/>
  <c r="J34" i="14"/>
  <c r="I34" i="14"/>
  <c r="H34" i="14"/>
  <c r="H32" i="14"/>
  <c r="O31" i="14"/>
  <c r="P31" i="14" s="1"/>
  <c r="Q31" i="14" s="1"/>
  <c r="R31" i="14" s="1"/>
  <c r="S31" i="14" s="1"/>
  <c r="T31" i="14" s="1"/>
  <c r="U31" i="14" s="1"/>
  <c r="V31" i="14" s="1"/>
  <c r="W31" i="14" s="1"/>
  <c r="X31" i="14" s="1"/>
  <c r="Y31" i="14" s="1"/>
  <c r="Z31" i="14" s="1"/>
  <c r="AA31" i="14" s="1"/>
  <c r="AB31" i="14" s="1"/>
  <c r="AC31" i="14" s="1"/>
  <c r="AD31" i="14" s="1"/>
  <c r="AE31" i="14" s="1"/>
  <c r="AF31" i="14" s="1"/>
  <c r="AG31" i="14" s="1"/>
  <c r="AH31" i="14" s="1"/>
  <c r="AI31" i="14" s="1"/>
  <c r="AJ31" i="14" s="1"/>
  <c r="AK31" i="14" s="1"/>
  <c r="AL31" i="14" s="1"/>
  <c r="AM31" i="14" s="1"/>
  <c r="AN31" i="14" s="1"/>
  <c r="AO31" i="14" s="1"/>
  <c r="AP31" i="14" s="1"/>
  <c r="AQ31" i="14" s="1"/>
  <c r="AR31" i="14" s="1"/>
  <c r="AS31" i="14" s="1"/>
  <c r="AT31" i="14" s="1"/>
  <c r="AU31" i="14" s="1"/>
  <c r="AV31" i="14" s="1"/>
  <c r="AW31" i="14" s="1"/>
  <c r="AX31" i="14" s="1"/>
  <c r="AY31" i="14" s="1"/>
  <c r="M31" i="14"/>
  <c r="L31" i="14"/>
  <c r="K31" i="14"/>
  <c r="J31" i="14"/>
  <c r="I31" i="14"/>
  <c r="M22" i="14"/>
  <c r="L22" i="14"/>
  <c r="K22" i="14"/>
  <c r="J22" i="14"/>
  <c r="I22" i="14"/>
  <c r="H22" i="14"/>
  <c r="M16" i="14"/>
  <c r="AB15" i="14"/>
  <c r="AC15" i="14" s="1"/>
  <c r="AD15" i="14" s="1"/>
  <c r="AE15" i="14" s="1"/>
  <c r="AF15" i="14" s="1"/>
  <c r="AG15" i="14" s="1"/>
  <c r="AH15" i="14" s="1"/>
  <c r="AI15" i="14" s="1"/>
  <c r="AJ15" i="14" s="1"/>
  <c r="AK15" i="14" s="1"/>
  <c r="AL15" i="14" s="1"/>
  <c r="AM15" i="14" s="1"/>
  <c r="AN15" i="14" s="1"/>
  <c r="AO15" i="14" s="1"/>
  <c r="AP15" i="14" s="1"/>
  <c r="AQ15" i="14" s="1"/>
  <c r="AR15" i="14" s="1"/>
  <c r="AS15" i="14" s="1"/>
  <c r="AT15" i="14" s="1"/>
  <c r="AU15" i="14" s="1"/>
  <c r="AV15" i="14" s="1"/>
  <c r="AW15" i="14" s="1"/>
  <c r="AX15" i="14" s="1"/>
  <c r="AY15" i="14" s="1"/>
  <c r="Z15" i="14"/>
  <c r="AA15" i="14" s="1"/>
  <c r="N15" i="14"/>
  <c r="O15" i="14" s="1"/>
  <c r="P15" i="14" s="1"/>
  <c r="Q15" i="14" s="1"/>
  <c r="R15" i="14" s="1"/>
  <c r="S15" i="14" s="1"/>
  <c r="T15" i="14" s="1"/>
  <c r="U15" i="14" s="1"/>
  <c r="V15" i="14" s="1"/>
  <c r="W15" i="14" s="1"/>
  <c r="X15" i="14" s="1"/>
  <c r="Y15" i="14" s="1"/>
  <c r="L15" i="14"/>
  <c r="L36" i="14" s="1"/>
  <c r="K15" i="14"/>
  <c r="K36" i="14" s="1"/>
  <c r="J15" i="14"/>
  <c r="J36" i="14" s="1"/>
  <c r="I15" i="14"/>
  <c r="I36" i="14" s="1"/>
  <c r="H15" i="14"/>
  <c r="H36" i="14" s="1"/>
  <c r="M14" i="14"/>
  <c r="M13" i="14"/>
  <c r="Q12" i="14"/>
  <c r="P12" i="14"/>
  <c r="O12" i="14"/>
  <c r="N12" i="14"/>
  <c r="M12" i="14"/>
  <c r="L12" i="14"/>
  <c r="L33" i="14" s="1"/>
  <c r="K12" i="14"/>
  <c r="K33" i="14" s="1"/>
  <c r="J12" i="14"/>
  <c r="J33" i="14" s="1"/>
  <c r="I12" i="14"/>
  <c r="I33" i="14" s="1"/>
  <c r="H12" i="14"/>
  <c r="H33" i="14" s="1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L32" i="14" s="1"/>
  <c r="K11" i="14"/>
  <c r="K32" i="14" s="1"/>
  <c r="J11" i="14"/>
  <c r="J32" i="14" s="1"/>
  <c r="I11" i="14"/>
  <c r="I32" i="14" s="1"/>
  <c r="H11" i="14"/>
  <c r="H18" i="14" s="1"/>
  <c r="M8" i="14"/>
  <c r="L8" i="14"/>
  <c r="K8" i="14"/>
  <c r="J8" i="14"/>
  <c r="I8" i="14"/>
  <c r="H8" i="14"/>
  <c r="N6" i="14"/>
  <c r="O3" i="14"/>
  <c r="P3" i="14" s="1"/>
  <c r="Q3" i="14" s="1"/>
  <c r="R3" i="14" s="1"/>
  <c r="S3" i="14" s="1"/>
  <c r="T3" i="14" s="1"/>
  <c r="U3" i="14" s="1"/>
  <c r="V3" i="14" s="1"/>
  <c r="W3" i="14" s="1"/>
  <c r="X3" i="14" s="1"/>
  <c r="Y3" i="14" s="1"/>
  <c r="Z3" i="14" s="1"/>
  <c r="AA3" i="14" s="1"/>
  <c r="AB3" i="14" s="1"/>
  <c r="AC3" i="14" s="1"/>
  <c r="AD3" i="14" s="1"/>
  <c r="AE3" i="14" s="1"/>
  <c r="AF3" i="14" s="1"/>
  <c r="AG3" i="14" s="1"/>
  <c r="AH3" i="14" s="1"/>
  <c r="AI3" i="14" s="1"/>
  <c r="AJ3" i="14" s="1"/>
  <c r="AK3" i="14" s="1"/>
  <c r="AL3" i="14" s="1"/>
  <c r="AM3" i="14" s="1"/>
  <c r="AN3" i="14" s="1"/>
  <c r="AO3" i="14" s="1"/>
  <c r="AP3" i="14" s="1"/>
  <c r="AQ3" i="14" s="1"/>
  <c r="AR3" i="14" s="1"/>
  <c r="AS3" i="14" s="1"/>
  <c r="AT3" i="14" s="1"/>
  <c r="AU3" i="14" s="1"/>
  <c r="AV3" i="14" s="1"/>
  <c r="AW3" i="14" s="1"/>
  <c r="AX3" i="14" s="1"/>
  <c r="AY3" i="14" s="1"/>
  <c r="N3" i="14"/>
  <c r="L3" i="14"/>
  <c r="K3" i="14" s="1"/>
  <c r="J3" i="14" s="1"/>
  <c r="I3" i="14" s="1"/>
  <c r="H3" i="14" s="1"/>
  <c r="N13" i="14" l="1"/>
  <c r="M18" i="14"/>
  <c r="M20" i="14" s="1"/>
  <c r="M24" i="14" s="1"/>
  <c r="M26" i="14" s="1"/>
  <c r="H20" i="14"/>
  <c r="H24" i="14" s="1"/>
  <c r="N22" i="14"/>
  <c r="O6" i="14"/>
  <c r="N16" i="14"/>
  <c r="N14" i="14"/>
  <c r="N8" i="14"/>
  <c r="I18" i="14"/>
  <c r="I20" i="14" s="1"/>
  <c r="I24" i="14" s="1"/>
  <c r="K18" i="14"/>
  <c r="K20" i="14" s="1"/>
  <c r="K24" i="14" s="1"/>
  <c r="J18" i="14"/>
  <c r="J20" i="14" s="1"/>
  <c r="J24" i="14" s="1"/>
  <c r="L18" i="14"/>
  <c r="L20" i="14" s="1"/>
  <c r="L24" i="14" s="1"/>
  <c r="N18" i="14" l="1"/>
  <c r="N20" i="14" s="1"/>
  <c r="N24" i="14" s="1"/>
  <c r="N26" i="14" s="1"/>
  <c r="O16" i="14"/>
  <c r="P6" i="14"/>
  <c r="O14" i="14"/>
  <c r="O13" i="14"/>
  <c r="O22" i="14"/>
  <c r="O8" i="14"/>
  <c r="O18" i="14" l="1"/>
  <c r="O20" i="14" s="1"/>
  <c r="O24" i="14" s="1"/>
  <c r="O26" i="14" s="1"/>
  <c r="P16" i="14"/>
  <c r="P14" i="14"/>
  <c r="Q6" i="14"/>
  <c r="P8" i="14"/>
  <c r="P22" i="14"/>
  <c r="P13" i="14"/>
  <c r="P18" i="14" s="1"/>
  <c r="P20" i="14" l="1"/>
  <c r="P24" i="14" s="1"/>
  <c r="P26" i="14" s="1"/>
  <c r="Q16" i="14"/>
  <c r="Q14" i="14"/>
  <c r="R6" i="14"/>
  <c r="Q8" i="14"/>
  <c r="Q13" i="14"/>
  <c r="Q22" i="14"/>
  <c r="Q18" i="14" l="1"/>
  <c r="Q20" i="14"/>
  <c r="Q24" i="14" s="1"/>
  <c r="R16" i="14"/>
  <c r="R14" i="14"/>
  <c r="S6" i="14"/>
  <c r="R8" i="14"/>
  <c r="R13" i="14"/>
  <c r="R18" i="14" s="1"/>
  <c r="R22" i="14"/>
  <c r="Q26" i="14"/>
  <c r="S14" i="14" l="1"/>
  <c r="T6" i="14"/>
  <c r="S13" i="14"/>
  <c r="S8" i="14"/>
  <c r="S22" i="14"/>
  <c r="S16" i="14"/>
  <c r="R20" i="14"/>
  <c r="R24" i="14" s="1"/>
  <c r="R26" i="14" s="1"/>
  <c r="S18" i="14" l="1"/>
  <c r="S20" i="14" s="1"/>
  <c r="S24" i="14" s="1"/>
  <c r="S26" i="14" s="1"/>
  <c r="T14" i="14"/>
  <c r="U6" i="14"/>
  <c r="T8" i="14"/>
  <c r="T13" i="14"/>
  <c r="T22" i="14"/>
  <c r="T16" i="14"/>
  <c r="T18" i="14" l="1"/>
  <c r="T20" i="14" s="1"/>
  <c r="T24" i="14" s="1"/>
  <c r="T26" i="14" s="1"/>
  <c r="V6" i="14"/>
  <c r="U13" i="14"/>
  <c r="U8" i="14"/>
  <c r="U22" i="14"/>
  <c r="U14" i="14"/>
  <c r="U16" i="14"/>
  <c r="U18" i="14" l="1"/>
  <c r="U20" i="14" s="1"/>
  <c r="U24" i="14" s="1"/>
  <c r="U26" i="14" s="1"/>
  <c r="V22" i="14"/>
  <c r="V13" i="14"/>
  <c r="V8" i="14"/>
  <c r="V16" i="14"/>
  <c r="V14" i="14"/>
  <c r="W6" i="14"/>
  <c r="W8" i="14" l="1"/>
  <c r="W13" i="14"/>
  <c r="W22" i="14"/>
  <c r="X6" i="14"/>
  <c r="W14" i="14"/>
  <c r="W16" i="14"/>
  <c r="V18" i="14"/>
  <c r="V20" i="14" s="1"/>
  <c r="V24" i="14" s="1"/>
  <c r="V26" i="14" s="1"/>
  <c r="X8" i="14" l="1"/>
  <c r="X13" i="14"/>
  <c r="X22" i="14"/>
  <c r="X16" i="14"/>
  <c r="X14" i="14"/>
  <c r="Y6" i="14"/>
  <c r="W18" i="14"/>
  <c r="W20" i="14" s="1"/>
  <c r="W24" i="14" s="1"/>
  <c r="W26" i="14" s="1"/>
  <c r="Y8" i="14" l="1"/>
  <c r="Y13" i="14"/>
  <c r="Y22" i="14"/>
  <c r="Y16" i="14"/>
  <c r="Z6" i="14"/>
  <c r="Y14" i="14"/>
  <c r="X18" i="14"/>
  <c r="X20" i="14" s="1"/>
  <c r="X24" i="14" s="1"/>
  <c r="X26" i="14" s="1"/>
  <c r="Z8" i="14" l="1"/>
  <c r="Z13" i="14"/>
  <c r="Z16" i="14"/>
  <c r="Z22" i="14"/>
  <c r="Z14" i="14"/>
  <c r="AA6" i="14"/>
  <c r="Y18" i="14"/>
  <c r="Y20" i="14" s="1"/>
  <c r="Y24" i="14" s="1"/>
  <c r="Y26" i="14" s="1"/>
  <c r="AA13" i="14" l="1"/>
  <c r="AA22" i="14"/>
  <c r="AA16" i="14"/>
  <c r="AA14" i="14"/>
  <c r="AB6" i="14"/>
  <c r="AA8" i="14"/>
  <c r="Z18" i="14"/>
  <c r="Z20" i="14" s="1"/>
  <c r="Z24" i="14" s="1"/>
  <c r="Z26" i="14" s="1"/>
  <c r="AB22" i="14" l="1"/>
  <c r="AB16" i="14"/>
  <c r="AB14" i="14"/>
  <c r="AC6" i="14"/>
  <c r="AB8" i="14"/>
  <c r="AB13" i="14"/>
  <c r="AB18" i="14" s="1"/>
  <c r="AA18" i="14"/>
  <c r="AA20" i="14" s="1"/>
  <c r="AA24" i="14" s="1"/>
  <c r="AA26" i="14" s="1"/>
  <c r="AC22" i="14" l="1"/>
  <c r="AC16" i="14"/>
  <c r="AC14" i="14"/>
  <c r="AC13" i="14"/>
  <c r="AC18" i="14" s="1"/>
  <c r="AC8" i="14"/>
  <c r="AD6" i="14"/>
  <c r="AB20" i="14"/>
  <c r="AB24" i="14" s="1"/>
  <c r="AB26" i="14" s="1"/>
  <c r="AC20" i="14" l="1"/>
  <c r="AC24" i="14" s="1"/>
  <c r="AC26" i="14" s="1"/>
  <c r="AD22" i="14"/>
  <c r="AD14" i="14"/>
  <c r="AD16" i="14"/>
  <c r="AE6" i="14"/>
  <c r="AD8" i="14"/>
  <c r="AD13" i="14"/>
  <c r="AD18" i="14" l="1"/>
  <c r="AE16" i="14"/>
  <c r="AE14" i="14"/>
  <c r="AF6" i="14"/>
  <c r="AE13" i="14"/>
  <c r="AE18" i="14" s="1"/>
  <c r="AE8" i="14"/>
  <c r="AE22" i="14"/>
  <c r="AD20" i="14"/>
  <c r="AD24" i="14" s="1"/>
  <c r="AD26" i="14" s="1"/>
  <c r="AE20" i="14" l="1"/>
  <c r="AE24" i="14" s="1"/>
  <c r="AE26" i="14" s="1"/>
  <c r="AF16" i="14"/>
  <c r="AF14" i="14"/>
  <c r="AG6" i="14"/>
  <c r="AF8" i="14"/>
  <c r="AF22" i="14"/>
  <c r="AF13" i="14"/>
  <c r="AF18" i="14" l="1"/>
  <c r="AF20" i="14" s="1"/>
  <c r="AF24" i="14" s="1"/>
  <c r="AF26" i="14" s="1"/>
  <c r="AG16" i="14"/>
  <c r="AG14" i="14"/>
  <c r="AH6" i="14"/>
  <c r="AG8" i="14"/>
  <c r="AG13" i="14"/>
  <c r="AG22" i="14"/>
  <c r="AG18" i="14" l="1"/>
  <c r="AG20" i="14" s="1"/>
  <c r="AG24" i="14" s="1"/>
  <c r="AG26" i="14" s="1"/>
  <c r="AH16" i="14"/>
  <c r="AH14" i="14"/>
  <c r="AI6" i="14"/>
  <c r="AH8" i="14"/>
  <c r="AH13" i="14"/>
  <c r="AH18" i="14" s="1"/>
  <c r="AH22" i="14"/>
  <c r="AH20" i="14" l="1"/>
  <c r="AH24" i="14" s="1"/>
  <c r="AH26" i="14" s="1"/>
  <c r="AI14" i="14"/>
  <c r="AJ6" i="14"/>
  <c r="AI13" i="14"/>
  <c r="AI8" i="14"/>
  <c r="AI22" i="14"/>
  <c r="AI16" i="14"/>
  <c r="AI18" i="14" l="1"/>
  <c r="AI20" i="14" s="1"/>
  <c r="AI24" i="14" s="1"/>
  <c r="AI26" i="14" s="1"/>
  <c r="AJ14" i="14"/>
  <c r="AK6" i="14"/>
  <c r="AJ8" i="14"/>
  <c r="AJ13" i="14"/>
  <c r="AJ22" i="14"/>
  <c r="AJ16" i="14"/>
  <c r="AJ18" i="14" l="1"/>
  <c r="AL6" i="14"/>
  <c r="AK8" i="14"/>
  <c r="AK13" i="14"/>
  <c r="AK22" i="14"/>
  <c r="AK16" i="14"/>
  <c r="AK14" i="14"/>
  <c r="AJ20" i="14"/>
  <c r="AJ24" i="14" s="1"/>
  <c r="AJ26" i="14" s="1"/>
  <c r="AK18" i="14" l="1"/>
  <c r="AL8" i="14"/>
  <c r="AL13" i="14"/>
  <c r="AL22" i="14"/>
  <c r="AL16" i="14"/>
  <c r="AL14" i="14"/>
  <c r="AM6" i="14"/>
  <c r="AK20" i="14"/>
  <c r="AK24" i="14" s="1"/>
  <c r="AK26" i="14" s="1"/>
  <c r="AM8" i="14" l="1"/>
  <c r="AM13" i="14"/>
  <c r="AM22" i="14"/>
  <c r="AN6" i="14"/>
  <c r="AM16" i="14"/>
  <c r="AM14" i="14"/>
  <c r="AL18" i="14"/>
  <c r="AL20" i="14" s="1"/>
  <c r="AL24" i="14" s="1"/>
  <c r="AL26" i="14" s="1"/>
  <c r="AN8" i="14" l="1"/>
  <c r="AN13" i="14"/>
  <c r="AN22" i="14"/>
  <c r="AN16" i="14"/>
  <c r="AN14" i="14"/>
  <c r="AO6" i="14"/>
  <c r="AM18" i="14"/>
  <c r="AM20" i="14" s="1"/>
  <c r="AM24" i="14" s="1"/>
  <c r="AM26" i="14" s="1"/>
  <c r="AO8" i="14" l="1"/>
  <c r="AO13" i="14"/>
  <c r="AO22" i="14"/>
  <c r="AO16" i="14"/>
  <c r="AP6" i="14"/>
  <c r="AO14" i="14"/>
  <c r="AN18" i="14"/>
  <c r="AN20" i="14" s="1"/>
  <c r="AN24" i="14" s="1"/>
  <c r="AN26" i="14" s="1"/>
  <c r="AP8" i="14" l="1"/>
  <c r="AP13" i="14"/>
  <c r="AP22" i="14"/>
  <c r="AP16" i="14"/>
  <c r="AP14" i="14"/>
  <c r="AQ6" i="14"/>
  <c r="AO18" i="14"/>
  <c r="AO20" i="14" s="1"/>
  <c r="AO24" i="14" s="1"/>
  <c r="AO26" i="14" s="1"/>
  <c r="AQ13" i="14" l="1"/>
  <c r="AQ22" i="14"/>
  <c r="AQ16" i="14"/>
  <c r="AQ14" i="14"/>
  <c r="AR6" i="14"/>
  <c r="AQ8" i="14"/>
  <c r="AP18" i="14"/>
  <c r="AP20" i="14" s="1"/>
  <c r="AP24" i="14" s="1"/>
  <c r="AP26" i="14" s="1"/>
  <c r="AR22" i="14" l="1"/>
  <c r="AR14" i="14"/>
  <c r="AR16" i="14"/>
  <c r="AS6" i="14"/>
  <c r="AR8" i="14"/>
  <c r="AR13" i="14"/>
  <c r="AR18" i="14" s="1"/>
  <c r="AQ18" i="14"/>
  <c r="AQ20" i="14" s="1"/>
  <c r="AQ24" i="14" s="1"/>
  <c r="AQ26" i="14" s="1"/>
  <c r="AR20" i="14" l="1"/>
  <c r="AR24" i="14" s="1"/>
  <c r="AR26" i="14" s="1"/>
  <c r="AS22" i="14"/>
  <c r="AT6" i="14"/>
  <c r="AS16" i="14"/>
  <c r="AS14" i="14"/>
  <c r="AS13" i="14"/>
  <c r="AS8" i="14"/>
  <c r="AS18" i="14" l="1"/>
  <c r="AS20" i="14"/>
  <c r="AS24" i="14" s="1"/>
  <c r="AS26" i="14" s="1"/>
  <c r="AT22" i="14"/>
  <c r="AT16" i="14"/>
  <c r="AT14" i="14"/>
  <c r="AU6" i="14"/>
  <c r="AT8" i="14"/>
  <c r="AT13" i="14"/>
  <c r="AT18" i="14" s="1"/>
  <c r="AT20" i="14" l="1"/>
  <c r="AT24" i="14" s="1"/>
  <c r="AT26" i="14" s="1"/>
  <c r="AU16" i="14"/>
  <c r="AU14" i="14"/>
  <c r="AV6" i="14"/>
  <c r="AU13" i="14"/>
  <c r="AU22" i="14"/>
  <c r="AU8" i="14"/>
  <c r="AU18" i="14" l="1"/>
  <c r="AU20" i="14"/>
  <c r="AU24" i="14" s="1"/>
  <c r="AU26" i="14" s="1"/>
  <c r="AV16" i="14"/>
  <c r="AV14" i="14"/>
  <c r="AW6" i="14"/>
  <c r="AV8" i="14"/>
  <c r="AV22" i="14"/>
  <c r="AV13" i="14"/>
  <c r="AV18" i="14" l="1"/>
  <c r="AV20" i="14"/>
  <c r="AV24" i="14" s="1"/>
  <c r="AV26" i="14" s="1"/>
  <c r="AW16" i="14"/>
  <c r="AW14" i="14"/>
  <c r="AX6" i="14"/>
  <c r="AW8" i="14"/>
  <c r="AW13" i="14"/>
  <c r="AW22" i="14"/>
  <c r="AW18" i="14" l="1"/>
  <c r="AW20" i="14" s="1"/>
  <c r="AW24" i="14" s="1"/>
  <c r="AW26" i="14" s="1"/>
  <c r="AX16" i="14"/>
  <c r="AX14" i="14"/>
  <c r="AX8" i="14"/>
  <c r="AY6" i="14"/>
  <c r="AX13" i="14"/>
  <c r="AX22" i="14"/>
  <c r="AX18" i="14" l="1"/>
  <c r="AY14" i="14"/>
  <c r="AY13" i="14"/>
  <c r="AY8" i="14"/>
  <c r="AY22" i="14"/>
  <c r="AY16" i="14"/>
  <c r="AX20" i="14"/>
  <c r="AX24" i="14" s="1"/>
  <c r="AX26" i="14" s="1"/>
  <c r="I26" i="12"/>
  <c r="J26" i="12" s="1"/>
  <c r="K26" i="12" s="1"/>
  <c r="L26" i="12" s="1"/>
  <c r="M26" i="12" s="1"/>
  <c r="N26" i="12" s="1"/>
  <c r="O26" i="12" s="1"/>
  <c r="P26" i="12" s="1"/>
  <c r="Q26" i="12" s="1"/>
  <c r="R26" i="12" s="1"/>
  <c r="S26" i="12" s="1"/>
  <c r="T26" i="12" s="1"/>
  <c r="U26" i="12" s="1"/>
  <c r="V26" i="12" s="1"/>
  <c r="W26" i="12" s="1"/>
  <c r="X26" i="12" s="1"/>
  <c r="Y26" i="12" s="1"/>
  <c r="Z26" i="12" s="1"/>
  <c r="AA26" i="12" s="1"/>
  <c r="AB26" i="12" s="1"/>
  <c r="AC26" i="12" s="1"/>
  <c r="AD26" i="12" s="1"/>
  <c r="AE26" i="12" s="1"/>
  <c r="AF26" i="12" s="1"/>
  <c r="AG26" i="12" s="1"/>
  <c r="AH26" i="12" s="1"/>
  <c r="AI26" i="12" s="1"/>
  <c r="AJ26" i="12" s="1"/>
  <c r="AK26" i="12" s="1"/>
  <c r="AL26" i="12" s="1"/>
  <c r="AM26" i="12" s="1"/>
  <c r="AN26" i="12" s="1"/>
  <c r="AO26" i="12" s="1"/>
  <c r="AP26" i="12" s="1"/>
  <c r="AQ26" i="12" s="1"/>
  <c r="AR26" i="12" s="1"/>
  <c r="AS26" i="12" s="1"/>
  <c r="AT26" i="12" s="1"/>
  <c r="J29" i="12"/>
  <c r="K29" i="12" s="1"/>
  <c r="L29" i="12" s="1"/>
  <c r="M29" i="12" s="1"/>
  <c r="N29" i="12" s="1"/>
  <c r="O29" i="12" s="1"/>
  <c r="P29" i="12" s="1"/>
  <c r="Q29" i="12" s="1"/>
  <c r="R29" i="12" s="1"/>
  <c r="S29" i="12" s="1"/>
  <c r="T29" i="12" s="1"/>
  <c r="U29" i="12" s="1"/>
  <c r="V29" i="12" s="1"/>
  <c r="W29" i="12" s="1"/>
  <c r="X29" i="12" s="1"/>
  <c r="Y29" i="12" s="1"/>
  <c r="Z29" i="12" s="1"/>
  <c r="AA29" i="12" s="1"/>
  <c r="AB29" i="12" s="1"/>
  <c r="AC29" i="12" s="1"/>
  <c r="AD29" i="12" s="1"/>
  <c r="AE29" i="12" s="1"/>
  <c r="AF29" i="12" s="1"/>
  <c r="AG29" i="12" s="1"/>
  <c r="AH29" i="12" s="1"/>
  <c r="AI29" i="12" s="1"/>
  <c r="AJ29" i="12" s="1"/>
  <c r="AK29" i="12" s="1"/>
  <c r="AL29" i="12" s="1"/>
  <c r="AM29" i="12" s="1"/>
  <c r="AN29" i="12" s="1"/>
  <c r="AO29" i="12" s="1"/>
  <c r="AP29" i="12" s="1"/>
  <c r="AQ29" i="12" s="1"/>
  <c r="AR29" i="12" s="1"/>
  <c r="AS29" i="12" s="1"/>
  <c r="AT29" i="12" s="1"/>
  <c r="I29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J15" i="12"/>
  <c r="I15" i="12"/>
  <c r="H15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H13" i="12"/>
  <c r="I27" i="12"/>
  <c r="J27" i="12" s="1"/>
  <c r="J7" i="12"/>
  <c r="K7" i="12"/>
  <c r="L7" i="12" s="1"/>
  <c r="M7" i="12" s="1"/>
  <c r="N7" i="12" s="1"/>
  <c r="O7" i="12" s="1"/>
  <c r="P7" i="12" s="1"/>
  <c r="Q7" i="12" s="1"/>
  <c r="R7" i="12" s="1"/>
  <c r="S7" i="12" s="1"/>
  <c r="T7" i="12" s="1"/>
  <c r="U7" i="12" s="1"/>
  <c r="V7" i="12" s="1"/>
  <c r="W7" i="12" s="1"/>
  <c r="X7" i="12" s="1"/>
  <c r="Y7" i="12" s="1"/>
  <c r="Z7" i="12" s="1"/>
  <c r="AA7" i="12" s="1"/>
  <c r="AB7" i="12" s="1"/>
  <c r="AC7" i="12" s="1"/>
  <c r="AD7" i="12" s="1"/>
  <c r="AE7" i="12" s="1"/>
  <c r="AF7" i="12" s="1"/>
  <c r="AG7" i="12" s="1"/>
  <c r="AH7" i="12" s="1"/>
  <c r="AI7" i="12" s="1"/>
  <c r="AJ7" i="12" s="1"/>
  <c r="AK7" i="12" s="1"/>
  <c r="AL7" i="12" s="1"/>
  <c r="AM7" i="12" s="1"/>
  <c r="AN7" i="12" s="1"/>
  <c r="AO7" i="12" s="1"/>
  <c r="AP7" i="12" s="1"/>
  <c r="AQ7" i="12" s="1"/>
  <c r="AR7" i="12" s="1"/>
  <c r="AS7" i="12" s="1"/>
  <c r="AT7" i="12" s="1"/>
  <c r="I7" i="12"/>
  <c r="H17" i="12"/>
  <c r="H14" i="12"/>
  <c r="I11" i="12"/>
  <c r="H11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AC4" i="12" s="1"/>
  <c r="AD4" i="12" s="1"/>
  <c r="AE4" i="12" s="1"/>
  <c r="AF4" i="12" s="1"/>
  <c r="AG4" i="12" s="1"/>
  <c r="AH4" i="12" s="1"/>
  <c r="AI4" i="12" s="1"/>
  <c r="AJ4" i="12" s="1"/>
  <c r="AK4" i="12" s="1"/>
  <c r="AL4" i="12" s="1"/>
  <c r="AM4" i="12" s="1"/>
  <c r="AN4" i="12" s="1"/>
  <c r="AO4" i="12" s="1"/>
  <c r="AP4" i="12" s="1"/>
  <c r="AQ4" i="12" s="1"/>
  <c r="AR4" i="12" s="1"/>
  <c r="AS4" i="12" s="1"/>
  <c r="AT4" i="12" s="1"/>
  <c r="K2" i="12"/>
  <c r="J2" i="12"/>
  <c r="J14" i="12" s="1"/>
  <c r="I2" i="12"/>
  <c r="I14" i="12" s="1"/>
  <c r="J1" i="12"/>
  <c r="K1" i="12" s="1"/>
  <c r="I1" i="12"/>
  <c r="I17" i="12" s="1"/>
  <c r="AY18" i="14" l="1"/>
  <c r="AY20" i="14" s="1"/>
  <c r="AY24" i="14" s="1"/>
  <c r="AY26" i="14" s="1"/>
  <c r="K27" i="12"/>
  <c r="L27" i="12" s="1"/>
  <c r="J11" i="12"/>
  <c r="J12" i="12" s="1"/>
  <c r="J16" i="12" s="1"/>
  <c r="H12" i="12"/>
  <c r="H16" i="12" s="1"/>
  <c r="H18" i="12" s="1"/>
  <c r="I12" i="12"/>
  <c r="K14" i="12"/>
  <c r="K17" i="12"/>
  <c r="L1" i="12"/>
  <c r="L2" i="12"/>
  <c r="J17" i="12"/>
  <c r="K11" i="12" l="1"/>
  <c r="K12" i="12" s="1"/>
  <c r="K16" i="12" s="1"/>
  <c r="K18" i="12" s="1"/>
  <c r="M27" i="12"/>
  <c r="L11" i="12"/>
  <c r="L12" i="12" s="1"/>
  <c r="I16" i="12"/>
  <c r="I18" i="12" s="1"/>
  <c r="M2" i="12"/>
  <c r="M1" i="12"/>
  <c r="L17" i="12"/>
  <c r="J18" i="12"/>
  <c r="N27" i="12" l="1"/>
  <c r="M11" i="12"/>
  <c r="M12" i="12" s="1"/>
  <c r="N1" i="12"/>
  <c r="M17" i="12"/>
  <c r="L14" i="12"/>
  <c r="L16" i="12"/>
  <c r="L18" i="12" s="1"/>
  <c r="N2" i="12"/>
  <c r="O27" i="12" l="1"/>
  <c r="N11" i="12"/>
  <c r="N12" i="12" s="1"/>
  <c r="M16" i="12"/>
  <c r="M18" i="12" s="1"/>
  <c r="M14" i="12"/>
  <c r="O2" i="12"/>
  <c r="O1" i="12"/>
  <c r="N17" i="12"/>
  <c r="P27" i="12" l="1"/>
  <c r="O11" i="12"/>
  <c r="O12" i="12" s="1"/>
  <c r="N16" i="12"/>
  <c r="N18" i="12" s="1"/>
  <c r="N14" i="12"/>
  <c r="P1" i="12"/>
  <c r="O17" i="12"/>
  <c r="P2" i="12"/>
  <c r="Q27" i="12" l="1"/>
  <c r="P11" i="12"/>
  <c r="P12" i="12" s="1"/>
  <c r="Q2" i="12"/>
  <c r="O16" i="12"/>
  <c r="O18" i="12" s="1"/>
  <c r="O14" i="12"/>
  <c r="P17" i="12"/>
  <c r="Q1" i="12"/>
  <c r="R27" i="12" l="1"/>
  <c r="Q11" i="12"/>
  <c r="Q12" i="12" s="1"/>
  <c r="Q17" i="12"/>
  <c r="R1" i="12"/>
  <c r="R2" i="12"/>
  <c r="P14" i="12"/>
  <c r="P16" i="12"/>
  <c r="P18" i="12" s="1"/>
  <c r="R11" i="12" l="1"/>
  <c r="R12" i="12" s="1"/>
  <c r="S27" i="12"/>
  <c r="S2" i="12"/>
  <c r="Q16" i="12"/>
  <c r="Q18" i="12" s="1"/>
  <c r="Q14" i="12"/>
  <c r="R17" i="12"/>
  <c r="S1" i="12"/>
  <c r="S11" i="12" l="1"/>
  <c r="S12" i="12" s="1"/>
  <c r="T27" i="12"/>
  <c r="T2" i="12"/>
  <c r="S17" i="12"/>
  <c r="T1" i="12"/>
  <c r="R16" i="12"/>
  <c r="R18" i="12" s="1"/>
  <c r="R14" i="12"/>
  <c r="T11" i="12" l="1"/>
  <c r="T12" i="12" s="1"/>
  <c r="U27" i="12"/>
  <c r="U1" i="12"/>
  <c r="T17" i="12"/>
  <c r="U2" i="12"/>
  <c r="S16" i="12"/>
  <c r="S18" i="12" s="1"/>
  <c r="S14" i="12"/>
  <c r="U11" i="12" l="1"/>
  <c r="U12" i="12" s="1"/>
  <c r="V27" i="12"/>
  <c r="V2" i="12"/>
  <c r="T16" i="12"/>
  <c r="T18" i="12" s="1"/>
  <c r="T14" i="12"/>
  <c r="U17" i="12"/>
  <c r="V1" i="12"/>
  <c r="V11" i="12" l="1"/>
  <c r="V12" i="12" s="1"/>
  <c r="W27" i="12"/>
  <c r="V17" i="12"/>
  <c r="W1" i="12"/>
  <c r="U14" i="12"/>
  <c r="U16" i="12"/>
  <c r="U18" i="12" s="1"/>
  <c r="W2" i="12"/>
  <c r="W11" i="12" l="1"/>
  <c r="W12" i="12" s="1"/>
  <c r="X27" i="12"/>
  <c r="W17" i="12"/>
  <c r="X1" i="12"/>
  <c r="V14" i="12"/>
  <c r="V16" i="12"/>
  <c r="V18" i="12" s="1"/>
  <c r="X2" i="12"/>
  <c r="X11" i="12" l="1"/>
  <c r="X12" i="12" s="1"/>
  <c r="Y27" i="12"/>
  <c r="W14" i="12"/>
  <c r="W16" i="12"/>
  <c r="W18" i="12" s="1"/>
  <c r="Y2" i="12"/>
  <c r="Y1" i="12"/>
  <c r="X17" i="12"/>
  <c r="Z27" i="12" l="1"/>
  <c r="Y11" i="12"/>
  <c r="Y12" i="12" s="1"/>
  <c r="X14" i="12"/>
  <c r="X16" i="12"/>
  <c r="X18" i="12" s="1"/>
  <c r="Z2" i="12"/>
  <c r="Z1" i="12"/>
  <c r="Y17" i="12"/>
  <c r="AA27" i="12" l="1"/>
  <c r="Z11" i="12"/>
  <c r="Z12" i="12" s="1"/>
  <c r="AA1" i="12"/>
  <c r="Z17" i="12"/>
  <c r="AA2" i="12"/>
  <c r="Y14" i="12"/>
  <c r="Y16" i="12"/>
  <c r="Y18" i="12" s="1"/>
  <c r="AB27" i="12" l="1"/>
  <c r="AA11" i="12"/>
  <c r="AA12" i="12" s="1"/>
  <c r="Z16" i="12"/>
  <c r="Z18" i="12" s="1"/>
  <c r="Z14" i="12"/>
  <c r="AB2" i="12"/>
  <c r="AB1" i="12"/>
  <c r="AA17" i="12"/>
  <c r="AB11" i="12" l="1"/>
  <c r="AB12" i="12" s="1"/>
  <c r="AC27" i="12"/>
  <c r="AA14" i="12"/>
  <c r="AA16" i="12"/>
  <c r="AA18" i="12" s="1"/>
  <c r="AB17" i="12"/>
  <c r="AC1" i="12"/>
  <c r="AC2" i="12"/>
  <c r="AC11" i="12" l="1"/>
  <c r="AC12" i="12" s="1"/>
  <c r="AD27" i="12"/>
  <c r="AD2" i="12"/>
  <c r="AB14" i="12"/>
  <c r="AB16" i="12"/>
  <c r="AB18" i="12" s="1"/>
  <c r="AD1" i="12"/>
  <c r="AC17" i="12"/>
  <c r="AE27" i="12" l="1"/>
  <c r="AD11" i="12"/>
  <c r="AD12" i="12" s="1"/>
  <c r="AE1" i="12"/>
  <c r="AD17" i="12"/>
  <c r="AE2" i="12"/>
  <c r="AC16" i="12"/>
  <c r="AC18" i="12" s="1"/>
  <c r="AC14" i="12"/>
  <c r="AF27" i="12" l="1"/>
  <c r="AE11" i="12"/>
  <c r="AE12" i="12" s="1"/>
  <c r="AD16" i="12"/>
  <c r="AD18" i="12" s="1"/>
  <c r="AD14" i="12"/>
  <c r="AF2" i="12"/>
  <c r="AF1" i="12"/>
  <c r="AE17" i="12"/>
  <c r="AG27" i="12" l="1"/>
  <c r="AF11" i="12"/>
  <c r="AF12" i="12" s="1"/>
  <c r="AG1" i="12"/>
  <c r="AF17" i="12"/>
  <c r="AG2" i="12"/>
  <c r="AE16" i="12"/>
  <c r="AE18" i="12" s="1"/>
  <c r="AE14" i="12"/>
  <c r="AH27" i="12" l="1"/>
  <c r="AG11" i="12"/>
  <c r="AG12" i="12" s="1"/>
  <c r="AH2" i="12"/>
  <c r="AF16" i="12"/>
  <c r="AF18" i="12" s="1"/>
  <c r="AF14" i="12"/>
  <c r="AG17" i="12"/>
  <c r="AH1" i="12"/>
  <c r="AH11" i="12" l="1"/>
  <c r="AH12" i="12" s="1"/>
  <c r="AI27" i="12"/>
  <c r="AH17" i="12"/>
  <c r="AI1" i="12"/>
  <c r="AI2" i="12"/>
  <c r="AG16" i="12"/>
  <c r="AG18" i="12" s="1"/>
  <c r="AG14" i="12"/>
  <c r="AI11" i="12" l="1"/>
  <c r="AI12" i="12" s="1"/>
  <c r="AJ27" i="12"/>
  <c r="AJ2" i="12"/>
  <c r="AI17" i="12"/>
  <c r="AJ1" i="12"/>
  <c r="AH16" i="12"/>
  <c r="AH18" i="12" s="1"/>
  <c r="AH14" i="12"/>
  <c r="AJ11" i="12" l="1"/>
  <c r="AJ12" i="12" s="1"/>
  <c r="AK27" i="12"/>
  <c r="AK2" i="12"/>
  <c r="AJ17" i="12"/>
  <c r="AK1" i="12"/>
  <c r="AI16" i="12"/>
  <c r="AI18" i="12" s="1"/>
  <c r="AI14" i="12"/>
  <c r="AK11" i="12" l="1"/>
  <c r="AK12" i="12" s="1"/>
  <c r="AL27" i="12"/>
  <c r="AK17" i="12"/>
  <c r="AL1" i="12"/>
  <c r="AJ16" i="12"/>
  <c r="AJ18" i="12" s="1"/>
  <c r="AJ14" i="12"/>
  <c r="AL2" i="12"/>
  <c r="AL11" i="12" l="1"/>
  <c r="AL12" i="12" s="1"/>
  <c r="AM27" i="12"/>
  <c r="AK14" i="12"/>
  <c r="AK16" i="12"/>
  <c r="AK18" i="12" s="1"/>
  <c r="AM2" i="12"/>
  <c r="AL17" i="12"/>
  <c r="AM1" i="12"/>
  <c r="AN27" i="12" l="1"/>
  <c r="AM11" i="12"/>
  <c r="AM12" i="12" s="1"/>
  <c r="AL14" i="12"/>
  <c r="AL16" i="12"/>
  <c r="AL18" i="12" s="1"/>
  <c r="AN2" i="12"/>
  <c r="AM17" i="12"/>
  <c r="AN1" i="12"/>
  <c r="AN11" i="12" l="1"/>
  <c r="AN12" i="12" s="1"/>
  <c r="AO27" i="12"/>
  <c r="AO1" i="12"/>
  <c r="AN17" i="12"/>
  <c r="AM14" i="12"/>
  <c r="AM16" i="12"/>
  <c r="AM18" i="12" s="1"/>
  <c r="AO2" i="12"/>
  <c r="AP27" i="12" l="1"/>
  <c r="AO11" i="12"/>
  <c r="AO12" i="12" s="1"/>
  <c r="AN14" i="12"/>
  <c r="AN16" i="12"/>
  <c r="AN18" i="12" s="1"/>
  <c r="AP2" i="12"/>
  <c r="AP1" i="12"/>
  <c r="AO17" i="12"/>
  <c r="AQ27" i="12" l="1"/>
  <c r="AP11" i="12"/>
  <c r="AP12" i="12" s="1"/>
  <c r="AO14" i="12"/>
  <c r="AO16" i="12"/>
  <c r="AO18" i="12" s="1"/>
  <c r="AQ2" i="12"/>
  <c r="AQ1" i="12"/>
  <c r="AP17" i="12"/>
  <c r="AR27" i="12" l="1"/>
  <c r="AQ11" i="12"/>
  <c r="AQ12" i="12" s="1"/>
  <c r="AR2" i="12"/>
  <c r="AP14" i="12"/>
  <c r="AP16" i="12"/>
  <c r="AP18" i="12" s="1"/>
  <c r="AQ17" i="12"/>
  <c r="AR1" i="12"/>
  <c r="AS27" i="12" l="1"/>
  <c r="AR11" i="12"/>
  <c r="AR12" i="12" s="1"/>
  <c r="AS1" i="12"/>
  <c r="AR17" i="12"/>
  <c r="AS2" i="12"/>
  <c r="AQ14" i="12"/>
  <c r="AQ16" i="12"/>
  <c r="AQ18" i="12" s="1"/>
  <c r="AT27" i="12" l="1"/>
  <c r="AT11" i="12" s="1"/>
  <c r="AT12" i="12" s="1"/>
  <c r="AS11" i="12"/>
  <c r="AS12" i="12" s="1"/>
  <c r="AT2" i="12"/>
  <c r="AR14" i="12"/>
  <c r="AR16" i="12"/>
  <c r="AR18" i="12" s="1"/>
  <c r="AT1" i="12"/>
  <c r="AT17" i="12" s="1"/>
  <c r="AS17" i="12"/>
  <c r="AT14" i="12" l="1"/>
  <c r="AS16" i="12"/>
  <c r="AS18" i="12" s="1"/>
  <c r="AS14" i="12"/>
  <c r="AT16" i="12" s="1"/>
  <c r="AT18" i="12" s="1"/>
  <c r="G20" i="12" s="1"/>
  <c r="C3" i="10" l="1"/>
  <c r="C4" i="10"/>
  <c r="C5" i="10"/>
  <c r="C6" i="10"/>
  <c r="C7" i="10"/>
  <c r="C8" i="10"/>
  <c r="C9" i="10"/>
  <c r="C10" i="10"/>
  <c r="C11" i="10"/>
  <c r="C12" i="10"/>
  <c r="C2" i="10"/>
  <c r="L37" i="9"/>
  <c r="K37" i="9"/>
  <c r="J37" i="9"/>
  <c r="I37" i="9"/>
  <c r="H37" i="9"/>
  <c r="K36" i="9"/>
  <c r="J36" i="9"/>
  <c r="I36" i="9"/>
  <c r="H36" i="9"/>
  <c r="L35" i="9"/>
  <c r="K35" i="9"/>
  <c r="J35" i="9"/>
  <c r="I35" i="9"/>
  <c r="H35" i="9"/>
  <c r="L34" i="9"/>
  <c r="K34" i="9"/>
  <c r="J34" i="9"/>
  <c r="I34" i="9"/>
  <c r="H34" i="9"/>
  <c r="L32" i="9"/>
  <c r="K32" i="9"/>
  <c r="J32" i="9"/>
  <c r="O31" i="9"/>
  <c r="P31" i="9" s="1"/>
  <c r="Q31" i="9" s="1"/>
  <c r="R31" i="9" s="1"/>
  <c r="S31" i="9" s="1"/>
  <c r="T31" i="9" s="1"/>
  <c r="U31" i="9" s="1"/>
  <c r="V31" i="9" s="1"/>
  <c r="W31" i="9" s="1"/>
  <c r="X31" i="9" s="1"/>
  <c r="Y31" i="9" s="1"/>
  <c r="Z31" i="9" s="1"/>
  <c r="AA31" i="9" s="1"/>
  <c r="AB31" i="9" s="1"/>
  <c r="AC31" i="9" s="1"/>
  <c r="AD31" i="9" s="1"/>
  <c r="AE31" i="9" s="1"/>
  <c r="AF31" i="9" s="1"/>
  <c r="AG31" i="9" s="1"/>
  <c r="AH31" i="9" s="1"/>
  <c r="AI31" i="9" s="1"/>
  <c r="AJ31" i="9" s="1"/>
  <c r="AK31" i="9" s="1"/>
  <c r="AL31" i="9" s="1"/>
  <c r="AM31" i="9" s="1"/>
  <c r="AN31" i="9" s="1"/>
  <c r="AO31" i="9" s="1"/>
  <c r="AP31" i="9" s="1"/>
  <c r="AQ31" i="9" s="1"/>
  <c r="AR31" i="9" s="1"/>
  <c r="AS31" i="9" s="1"/>
  <c r="AT31" i="9" s="1"/>
  <c r="AU31" i="9" s="1"/>
  <c r="AV31" i="9" s="1"/>
  <c r="AW31" i="9" s="1"/>
  <c r="AX31" i="9" s="1"/>
  <c r="AY31" i="9" s="1"/>
  <c r="M31" i="9"/>
  <c r="L31" i="9"/>
  <c r="K31" i="9"/>
  <c r="J31" i="9"/>
  <c r="I31" i="9"/>
  <c r="M22" i="9"/>
  <c r="L22" i="9"/>
  <c r="K22" i="9"/>
  <c r="J22" i="9"/>
  <c r="I22" i="9"/>
  <c r="H22" i="9"/>
  <c r="L18" i="9"/>
  <c r="K18" i="9"/>
  <c r="M16" i="9"/>
  <c r="O15" i="9"/>
  <c r="P15" i="9" s="1"/>
  <c r="Q15" i="9" s="1"/>
  <c r="R15" i="9" s="1"/>
  <c r="S15" i="9" s="1"/>
  <c r="T15" i="9" s="1"/>
  <c r="U15" i="9" s="1"/>
  <c r="V15" i="9" s="1"/>
  <c r="W15" i="9" s="1"/>
  <c r="X15" i="9" s="1"/>
  <c r="Y15" i="9" s="1"/>
  <c r="Z15" i="9" s="1"/>
  <c r="AA15" i="9" s="1"/>
  <c r="AB15" i="9" s="1"/>
  <c r="AC15" i="9" s="1"/>
  <c r="AD15" i="9" s="1"/>
  <c r="AE15" i="9" s="1"/>
  <c r="AF15" i="9" s="1"/>
  <c r="AG15" i="9" s="1"/>
  <c r="AH15" i="9" s="1"/>
  <c r="AI15" i="9" s="1"/>
  <c r="AJ15" i="9" s="1"/>
  <c r="AK15" i="9" s="1"/>
  <c r="AL15" i="9" s="1"/>
  <c r="AM15" i="9" s="1"/>
  <c r="AN15" i="9" s="1"/>
  <c r="AO15" i="9" s="1"/>
  <c r="AP15" i="9" s="1"/>
  <c r="AQ15" i="9" s="1"/>
  <c r="AR15" i="9" s="1"/>
  <c r="AS15" i="9" s="1"/>
  <c r="AT15" i="9" s="1"/>
  <c r="AU15" i="9" s="1"/>
  <c r="AV15" i="9" s="1"/>
  <c r="AW15" i="9" s="1"/>
  <c r="AX15" i="9" s="1"/>
  <c r="AY15" i="9" s="1"/>
  <c r="N15" i="9"/>
  <c r="L15" i="9"/>
  <c r="L36" i="9" s="1"/>
  <c r="K15" i="9"/>
  <c r="J15" i="9"/>
  <c r="I15" i="9"/>
  <c r="H15" i="9"/>
  <c r="M14" i="9"/>
  <c r="M18" i="9" s="1"/>
  <c r="M13" i="9"/>
  <c r="Q12" i="9"/>
  <c r="P12" i="9"/>
  <c r="O12" i="9"/>
  <c r="N12" i="9"/>
  <c r="M12" i="9"/>
  <c r="L12" i="9"/>
  <c r="L33" i="9" s="1"/>
  <c r="K12" i="9"/>
  <c r="K33" i="9" s="1"/>
  <c r="J12" i="9"/>
  <c r="J33" i="9" s="1"/>
  <c r="I12" i="9"/>
  <c r="I33" i="9" s="1"/>
  <c r="H12" i="9"/>
  <c r="H33" i="9" s="1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I32" i="9" s="1"/>
  <c r="H11" i="9"/>
  <c r="H32" i="9" s="1"/>
  <c r="M8" i="9"/>
  <c r="L8" i="9"/>
  <c r="L20" i="9" s="1"/>
  <c r="L24" i="9" s="1"/>
  <c r="K8" i="9"/>
  <c r="K20" i="9" s="1"/>
  <c r="K24" i="9" s="1"/>
  <c r="J8" i="9"/>
  <c r="I8" i="9"/>
  <c r="H8" i="9"/>
  <c r="N6" i="9"/>
  <c r="O6" i="9" s="1"/>
  <c r="Q3" i="9"/>
  <c r="R3" i="9" s="1"/>
  <c r="S3" i="9" s="1"/>
  <c r="T3" i="9" s="1"/>
  <c r="U3" i="9" s="1"/>
  <c r="V3" i="9" s="1"/>
  <c r="W3" i="9" s="1"/>
  <c r="X3" i="9" s="1"/>
  <c r="Y3" i="9" s="1"/>
  <c r="Z3" i="9" s="1"/>
  <c r="AA3" i="9" s="1"/>
  <c r="AB3" i="9" s="1"/>
  <c r="AC3" i="9" s="1"/>
  <c r="AD3" i="9" s="1"/>
  <c r="AE3" i="9" s="1"/>
  <c r="AF3" i="9" s="1"/>
  <c r="AG3" i="9" s="1"/>
  <c r="AH3" i="9" s="1"/>
  <c r="AI3" i="9" s="1"/>
  <c r="AJ3" i="9" s="1"/>
  <c r="AK3" i="9" s="1"/>
  <c r="AL3" i="9" s="1"/>
  <c r="AM3" i="9" s="1"/>
  <c r="AN3" i="9" s="1"/>
  <c r="AO3" i="9" s="1"/>
  <c r="AP3" i="9" s="1"/>
  <c r="AQ3" i="9" s="1"/>
  <c r="AR3" i="9" s="1"/>
  <c r="AS3" i="9" s="1"/>
  <c r="AT3" i="9" s="1"/>
  <c r="AU3" i="9" s="1"/>
  <c r="AV3" i="9" s="1"/>
  <c r="AW3" i="9" s="1"/>
  <c r="AX3" i="9" s="1"/>
  <c r="AY3" i="9" s="1"/>
  <c r="P3" i="9"/>
  <c r="O3" i="9"/>
  <c r="N3" i="9"/>
  <c r="L3" i="9"/>
  <c r="K3" i="9" s="1"/>
  <c r="J3" i="9" s="1"/>
  <c r="I3" i="9" s="1"/>
  <c r="H3" i="9" s="1"/>
  <c r="N26" i="8"/>
  <c r="O26" i="8" s="1"/>
  <c r="P26" i="8" s="1"/>
  <c r="Q26" i="8" s="1"/>
  <c r="R26" i="8" s="1"/>
  <c r="S26" i="8" s="1"/>
  <c r="T26" i="8" s="1"/>
  <c r="U26" i="8" s="1"/>
  <c r="V26" i="8" s="1"/>
  <c r="W26" i="8" s="1"/>
  <c r="X26" i="8" s="1"/>
  <c r="Y26" i="8" s="1"/>
  <c r="Z26" i="8" s="1"/>
  <c r="AA26" i="8" s="1"/>
  <c r="AB26" i="8" s="1"/>
  <c r="AC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AN26" i="8" s="1"/>
  <c r="AO26" i="8" s="1"/>
  <c r="AP26" i="8" s="1"/>
  <c r="AQ26" i="8" s="1"/>
  <c r="AR26" i="8" s="1"/>
  <c r="AS26" i="8" s="1"/>
  <c r="AT26" i="8" s="1"/>
  <c r="AU26" i="8" s="1"/>
  <c r="AV26" i="8" s="1"/>
  <c r="AW26" i="8" s="1"/>
  <c r="AX26" i="8" s="1"/>
  <c r="AY26" i="8" s="1"/>
  <c r="M2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M16" i="8"/>
  <c r="O15" i="8"/>
  <c r="P15" i="8"/>
  <c r="Q15" i="8" s="1"/>
  <c r="R15" i="8" s="1"/>
  <c r="S15" i="8" s="1"/>
  <c r="T15" i="8" s="1"/>
  <c r="U15" i="8" s="1"/>
  <c r="V15" i="8" s="1"/>
  <c r="W15" i="8" s="1"/>
  <c r="X15" i="8" s="1"/>
  <c r="Y15" i="8" s="1"/>
  <c r="Z15" i="8" s="1"/>
  <c r="AA15" i="8" s="1"/>
  <c r="AB15" i="8" s="1"/>
  <c r="AC15" i="8" s="1"/>
  <c r="AD15" i="8" s="1"/>
  <c r="AE15" i="8" s="1"/>
  <c r="AF15" i="8" s="1"/>
  <c r="AG15" i="8" s="1"/>
  <c r="AH15" i="8" s="1"/>
  <c r="AI15" i="8" s="1"/>
  <c r="AJ15" i="8" s="1"/>
  <c r="AK15" i="8" s="1"/>
  <c r="AL15" i="8" s="1"/>
  <c r="AM15" i="8" s="1"/>
  <c r="AN15" i="8" s="1"/>
  <c r="AO15" i="8" s="1"/>
  <c r="AP15" i="8" s="1"/>
  <c r="AQ15" i="8" s="1"/>
  <c r="AR15" i="8" s="1"/>
  <c r="AS15" i="8" s="1"/>
  <c r="AT15" i="8" s="1"/>
  <c r="AU15" i="8" s="1"/>
  <c r="AV15" i="8" s="1"/>
  <c r="AW15" i="8" s="1"/>
  <c r="AX15" i="8" s="1"/>
  <c r="AY15" i="8" s="1"/>
  <c r="N15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M22" i="8"/>
  <c r="O6" i="8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AD6" i="8" s="1"/>
  <c r="AE6" i="8" s="1"/>
  <c r="AF6" i="8" s="1"/>
  <c r="AG6" i="8" s="1"/>
  <c r="AH6" i="8" s="1"/>
  <c r="AI6" i="8" s="1"/>
  <c r="AJ6" i="8" s="1"/>
  <c r="AK6" i="8" s="1"/>
  <c r="AL6" i="8" s="1"/>
  <c r="AM6" i="8" s="1"/>
  <c r="AN6" i="8" s="1"/>
  <c r="AO6" i="8" s="1"/>
  <c r="AP6" i="8" s="1"/>
  <c r="AQ6" i="8" s="1"/>
  <c r="AR6" i="8" s="1"/>
  <c r="AS6" i="8" s="1"/>
  <c r="AT6" i="8" s="1"/>
  <c r="AU6" i="8" s="1"/>
  <c r="AV6" i="8" s="1"/>
  <c r="AW6" i="8" s="1"/>
  <c r="AX6" i="8" s="1"/>
  <c r="AY6" i="8" s="1"/>
  <c r="N6" i="8"/>
  <c r="N14" i="8" s="1"/>
  <c r="N18" i="8" s="1"/>
  <c r="M14" i="8"/>
  <c r="N13" i="8"/>
  <c r="M13" i="8"/>
  <c r="I37" i="8"/>
  <c r="J37" i="8"/>
  <c r="K37" i="8"/>
  <c r="L37" i="8"/>
  <c r="H37" i="8"/>
  <c r="H32" i="8"/>
  <c r="I36" i="8"/>
  <c r="J36" i="8"/>
  <c r="K36" i="8"/>
  <c r="L36" i="8"/>
  <c r="H36" i="8"/>
  <c r="I35" i="8"/>
  <c r="J35" i="8"/>
  <c r="K35" i="8"/>
  <c r="L35" i="8"/>
  <c r="H35" i="8"/>
  <c r="I34" i="8"/>
  <c r="J34" i="8"/>
  <c r="K34" i="8"/>
  <c r="L34" i="8"/>
  <c r="H34" i="8"/>
  <c r="I33" i="8"/>
  <c r="J33" i="8"/>
  <c r="K33" i="8"/>
  <c r="L33" i="8"/>
  <c r="H33" i="8"/>
  <c r="I32" i="8"/>
  <c r="J32" i="8"/>
  <c r="K32" i="8"/>
  <c r="L32" i="8"/>
  <c r="P31" i="8"/>
  <c r="Q31" i="8" s="1"/>
  <c r="R31" i="8" s="1"/>
  <c r="S31" i="8" s="1"/>
  <c r="T31" i="8" s="1"/>
  <c r="U31" i="8" s="1"/>
  <c r="V31" i="8" s="1"/>
  <c r="W31" i="8" s="1"/>
  <c r="X31" i="8" s="1"/>
  <c r="Y31" i="8" s="1"/>
  <c r="Z31" i="8" s="1"/>
  <c r="AA31" i="8" s="1"/>
  <c r="AB31" i="8" s="1"/>
  <c r="AC31" i="8" s="1"/>
  <c r="AD31" i="8" s="1"/>
  <c r="AE31" i="8" s="1"/>
  <c r="AF31" i="8" s="1"/>
  <c r="AG31" i="8" s="1"/>
  <c r="AH31" i="8" s="1"/>
  <c r="AI31" i="8" s="1"/>
  <c r="AJ31" i="8" s="1"/>
  <c r="AK31" i="8" s="1"/>
  <c r="AL31" i="8" s="1"/>
  <c r="AM31" i="8" s="1"/>
  <c r="AN31" i="8" s="1"/>
  <c r="AO31" i="8" s="1"/>
  <c r="AP31" i="8" s="1"/>
  <c r="AQ31" i="8" s="1"/>
  <c r="AR31" i="8" s="1"/>
  <c r="AS31" i="8" s="1"/>
  <c r="AT31" i="8" s="1"/>
  <c r="AU31" i="8" s="1"/>
  <c r="AV31" i="8" s="1"/>
  <c r="AW31" i="8" s="1"/>
  <c r="AX31" i="8" s="1"/>
  <c r="AY31" i="8" s="1"/>
  <c r="O31" i="8"/>
  <c r="I24" i="8"/>
  <c r="J24" i="8"/>
  <c r="K24" i="8"/>
  <c r="L24" i="8"/>
  <c r="H24" i="8"/>
  <c r="I20" i="8"/>
  <c r="J20" i="8"/>
  <c r="K20" i="8"/>
  <c r="L20" i="8"/>
  <c r="H20" i="8"/>
  <c r="I18" i="8"/>
  <c r="J18" i="8"/>
  <c r="K18" i="8"/>
  <c r="L18" i="8"/>
  <c r="M18" i="8"/>
  <c r="M20" i="8" s="1"/>
  <c r="M24" i="8" s="1"/>
  <c r="H18" i="8"/>
  <c r="J31" i="8"/>
  <c r="K31" i="8"/>
  <c r="L31" i="8"/>
  <c r="M31" i="8"/>
  <c r="I31" i="8"/>
  <c r="P6" i="9" l="1"/>
  <c r="O16" i="9"/>
  <c r="O13" i="9"/>
  <c r="O22" i="9"/>
  <c r="O14" i="9"/>
  <c r="O8" i="9"/>
  <c r="M20" i="9"/>
  <c r="M24" i="9" s="1"/>
  <c r="M26" i="9" s="1"/>
  <c r="N22" i="9"/>
  <c r="N16" i="9"/>
  <c r="N8" i="9"/>
  <c r="N13" i="9"/>
  <c r="N14" i="9"/>
  <c r="H18" i="9"/>
  <c r="H20" i="9" s="1"/>
  <c r="H24" i="9" s="1"/>
  <c r="I18" i="9"/>
  <c r="I20" i="9" s="1"/>
  <c r="I24" i="9" s="1"/>
  <c r="J18" i="9"/>
  <c r="J20" i="9" s="1"/>
  <c r="J24" i="9" s="1"/>
  <c r="O18" i="9" l="1"/>
  <c r="O20" i="9"/>
  <c r="O24" i="9" s="1"/>
  <c r="N18" i="9"/>
  <c r="N20" i="9" s="1"/>
  <c r="N24" i="9" s="1"/>
  <c r="N26" i="9" s="1"/>
  <c r="O26" i="9" s="1"/>
  <c r="P14" i="9"/>
  <c r="P16" i="9"/>
  <c r="P13" i="9"/>
  <c r="P18" i="9" s="1"/>
  <c r="P22" i="9"/>
  <c r="Q6" i="9"/>
  <c r="P8" i="9"/>
  <c r="P20" i="9" s="1"/>
  <c r="P24" i="9" s="1"/>
  <c r="P26" i="9" l="1"/>
  <c r="Q16" i="9"/>
  <c r="R6" i="9"/>
  <c r="Q14" i="9"/>
  <c r="Q22" i="9"/>
  <c r="Q13" i="9"/>
  <c r="Q8" i="9"/>
  <c r="Q18" i="9" l="1"/>
  <c r="Q20" i="9" s="1"/>
  <c r="Q24" i="9" s="1"/>
  <c r="Q26" i="9" s="1"/>
  <c r="R16" i="9"/>
  <c r="R14" i="9"/>
  <c r="S6" i="9"/>
  <c r="R22" i="9"/>
  <c r="R13" i="9"/>
  <c r="R18" i="9" s="1"/>
  <c r="R8" i="9"/>
  <c r="R20" i="9" s="1"/>
  <c r="R24" i="9" s="1"/>
  <c r="R26" i="9" l="1"/>
  <c r="S14" i="9"/>
  <c r="T6" i="9"/>
  <c r="S22" i="9"/>
  <c r="S16" i="9"/>
  <c r="S8" i="9"/>
  <c r="S13" i="9"/>
  <c r="S18" i="9" s="1"/>
  <c r="S20" i="9" l="1"/>
  <c r="S24" i="9" s="1"/>
  <c r="S26" i="9" s="1"/>
  <c r="T14" i="9"/>
  <c r="U6" i="9"/>
  <c r="T22" i="9"/>
  <c r="T8" i="9"/>
  <c r="T16" i="9"/>
  <c r="T13" i="9"/>
  <c r="T18" i="9" s="1"/>
  <c r="T20" i="9" l="1"/>
  <c r="T24" i="9" s="1"/>
  <c r="V6" i="9"/>
  <c r="U13" i="9"/>
  <c r="U8" i="9"/>
  <c r="U16" i="9"/>
  <c r="U14" i="9"/>
  <c r="U22" i="9"/>
  <c r="T26" i="9"/>
  <c r="V8" i="9" l="1"/>
  <c r="V13" i="9"/>
  <c r="V16" i="9"/>
  <c r="V14" i="9"/>
  <c r="W6" i="9"/>
  <c r="V22" i="9"/>
  <c r="U18" i="9"/>
  <c r="U20" i="9" s="1"/>
  <c r="U24" i="9" s="1"/>
  <c r="U26" i="9" s="1"/>
  <c r="W13" i="9" l="1"/>
  <c r="W8" i="9"/>
  <c r="W16" i="9"/>
  <c r="W14" i="9"/>
  <c r="X6" i="9"/>
  <c r="W22" i="9"/>
  <c r="V18" i="9"/>
  <c r="V20" i="9" s="1"/>
  <c r="V24" i="9" s="1"/>
  <c r="V26" i="9" s="1"/>
  <c r="X8" i="9" l="1"/>
  <c r="X13" i="9"/>
  <c r="X16" i="9"/>
  <c r="X14" i="9"/>
  <c r="Y6" i="9"/>
  <c r="X22" i="9"/>
  <c r="W18" i="9"/>
  <c r="W20" i="9" s="1"/>
  <c r="W24" i="9" s="1"/>
  <c r="W26" i="9" s="1"/>
  <c r="Y8" i="9" l="1"/>
  <c r="Y13" i="9"/>
  <c r="Y14" i="9"/>
  <c r="Z6" i="9"/>
  <c r="Y22" i="9"/>
  <c r="Y16" i="9"/>
  <c r="X18" i="9"/>
  <c r="X20" i="9" s="1"/>
  <c r="X24" i="9" s="1"/>
  <c r="X26" i="9" s="1"/>
  <c r="Z8" i="9" l="1"/>
  <c r="Z22" i="9"/>
  <c r="Z13" i="9"/>
  <c r="AA6" i="9"/>
  <c r="Z14" i="9"/>
  <c r="Z16" i="9"/>
  <c r="Y18" i="9"/>
  <c r="Y20" i="9" s="1"/>
  <c r="Y24" i="9" s="1"/>
  <c r="Y26" i="9" s="1"/>
  <c r="Z18" i="9" l="1"/>
  <c r="Z20" i="9"/>
  <c r="Z24" i="9" s="1"/>
  <c r="Z26" i="9" s="1"/>
  <c r="AA13" i="9"/>
  <c r="AA22" i="9"/>
  <c r="AA8" i="9"/>
  <c r="AA14" i="9"/>
  <c r="AB6" i="9"/>
  <c r="AA16" i="9"/>
  <c r="AA18" i="9" l="1"/>
  <c r="AB16" i="9"/>
  <c r="AB22" i="9"/>
  <c r="AB8" i="9"/>
  <c r="AB13" i="9"/>
  <c r="AB14" i="9"/>
  <c r="AC6" i="9"/>
  <c r="AA20" i="9"/>
  <c r="AA24" i="9" s="1"/>
  <c r="AA26" i="9" s="1"/>
  <c r="AC16" i="9" l="1"/>
  <c r="AC22" i="9"/>
  <c r="AC8" i="9"/>
  <c r="AC13" i="9"/>
  <c r="AC14" i="9"/>
  <c r="AD6" i="9"/>
  <c r="AB18" i="9"/>
  <c r="AB20" i="9" s="1"/>
  <c r="AB24" i="9" s="1"/>
  <c r="AB26" i="9" s="1"/>
  <c r="AD22" i="9" l="1"/>
  <c r="AD14" i="9"/>
  <c r="AD16" i="9"/>
  <c r="AD8" i="9"/>
  <c r="AD13" i="9"/>
  <c r="AD18" i="9" s="1"/>
  <c r="AE6" i="9"/>
  <c r="AC18" i="9"/>
  <c r="AC20" i="9" s="1"/>
  <c r="AC24" i="9" s="1"/>
  <c r="AC26" i="9" s="1"/>
  <c r="AF6" i="9" l="1"/>
  <c r="AE14" i="9"/>
  <c r="AE16" i="9"/>
  <c r="AE8" i="9"/>
  <c r="AE13" i="9"/>
  <c r="AE18" i="9" s="1"/>
  <c r="AE22" i="9"/>
  <c r="AD20" i="9"/>
  <c r="AD24" i="9" s="1"/>
  <c r="AD26" i="9" s="1"/>
  <c r="AE20" i="9" l="1"/>
  <c r="AE24" i="9" s="1"/>
  <c r="AE26" i="9" s="1"/>
  <c r="AF14" i="9"/>
  <c r="AG6" i="9"/>
  <c r="AF16" i="9"/>
  <c r="AF13" i="9"/>
  <c r="AF18" i="9" s="1"/>
  <c r="AF22" i="9"/>
  <c r="AF8" i="9"/>
  <c r="AF20" i="9" s="1"/>
  <c r="AF24" i="9" s="1"/>
  <c r="AF26" i="9" l="1"/>
  <c r="AG16" i="9"/>
  <c r="AG14" i="9"/>
  <c r="AH6" i="9"/>
  <c r="AG22" i="9"/>
  <c r="AG8" i="9"/>
  <c r="AG13" i="9"/>
  <c r="AG18" i="9" s="1"/>
  <c r="AG20" i="9" l="1"/>
  <c r="AG24" i="9" s="1"/>
  <c r="AG26" i="9" s="1"/>
  <c r="AH16" i="9"/>
  <c r="AH14" i="9"/>
  <c r="AI6" i="9"/>
  <c r="AH22" i="9"/>
  <c r="AH8" i="9"/>
  <c r="AH13" i="9"/>
  <c r="AH18" i="9" s="1"/>
  <c r="AH20" i="9" l="1"/>
  <c r="AH24" i="9" s="1"/>
  <c r="AI14" i="9"/>
  <c r="AJ6" i="9"/>
  <c r="AI22" i="9"/>
  <c r="AI16" i="9"/>
  <c r="AI13" i="9"/>
  <c r="AI18" i="9" s="1"/>
  <c r="AI8" i="9"/>
  <c r="AI20" i="9" s="1"/>
  <c r="AI24" i="9" s="1"/>
  <c r="AH26" i="9"/>
  <c r="AI26" i="9" l="1"/>
  <c r="AJ14" i="9"/>
  <c r="AK6" i="9"/>
  <c r="AJ22" i="9"/>
  <c r="AJ16" i="9"/>
  <c r="AJ8" i="9"/>
  <c r="AJ13" i="9"/>
  <c r="AJ18" i="9" s="1"/>
  <c r="AJ20" i="9" l="1"/>
  <c r="AJ24" i="9" s="1"/>
  <c r="AL6" i="9"/>
  <c r="AK16" i="9"/>
  <c r="AK13" i="9"/>
  <c r="AK14" i="9"/>
  <c r="AK8" i="9"/>
  <c r="AK22" i="9"/>
  <c r="AJ26" i="9"/>
  <c r="AL13" i="9" l="1"/>
  <c r="AL8" i="9"/>
  <c r="AL16" i="9"/>
  <c r="AL14" i="9"/>
  <c r="AM6" i="9"/>
  <c r="AL22" i="9"/>
  <c r="AK18" i="9"/>
  <c r="AK20" i="9" s="1"/>
  <c r="AK24" i="9" s="1"/>
  <c r="AK26" i="9" s="1"/>
  <c r="AM8" i="9" l="1"/>
  <c r="AM13" i="9"/>
  <c r="AM16" i="9"/>
  <c r="AM14" i="9"/>
  <c r="AN6" i="9"/>
  <c r="AM22" i="9"/>
  <c r="AL18" i="9"/>
  <c r="AL20" i="9" s="1"/>
  <c r="AL24" i="9" s="1"/>
  <c r="AL26" i="9" s="1"/>
  <c r="AN8" i="9" l="1"/>
  <c r="AN13" i="9"/>
  <c r="AN22" i="9"/>
  <c r="AN16" i="9"/>
  <c r="AN14" i="9"/>
  <c r="AO6" i="9"/>
  <c r="AM18" i="9"/>
  <c r="AM20" i="9"/>
  <c r="AM24" i="9" s="1"/>
  <c r="AM26" i="9" s="1"/>
  <c r="AO8" i="9" l="1"/>
  <c r="AO22" i="9"/>
  <c r="AO13" i="9"/>
  <c r="AO14" i="9"/>
  <c r="AP6" i="9"/>
  <c r="AO16" i="9"/>
  <c r="AN18" i="9"/>
  <c r="AN20" i="9"/>
  <c r="AN24" i="9" s="1"/>
  <c r="AN26" i="9" s="1"/>
  <c r="AP8" i="9" l="1"/>
  <c r="AP13" i="9"/>
  <c r="AP22" i="9"/>
  <c r="AP14" i="9"/>
  <c r="AQ6" i="9"/>
  <c r="AP16" i="9"/>
  <c r="AO18" i="9"/>
  <c r="AO20" i="9" s="1"/>
  <c r="AO24" i="9" s="1"/>
  <c r="AO26" i="9" s="1"/>
  <c r="AQ13" i="9" l="1"/>
  <c r="AQ22" i="9"/>
  <c r="AQ8" i="9"/>
  <c r="AQ14" i="9"/>
  <c r="AR6" i="9"/>
  <c r="AQ16" i="9"/>
  <c r="AP18" i="9"/>
  <c r="AP20" i="9" s="1"/>
  <c r="AP24" i="9" s="1"/>
  <c r="AP26" i="9" s="1"/>
  <c r="AR22" i="9" l="1"/>
  <c r="AR16" i="9"/>
  <c r="AR8" i="9"/>
  <c r="AR13" i="9"/>
  <c r="AS6" i="9"/>
  <c r="AR14" i="9"/>
  <c r="AQ18" i="9"/>
  <c r="AQ20" i="9" s="1"/>
  <c r="AQ24" i="9" s="1"/>
  <c r="AQ26" i="9" s="1"/>
  <c r="AR18" i="9" l="1"/>
  <c r="AS22" i="9"/>
  <c r="AS8" i="9"/>
  <c r="AS13" i="9"/>
  <c r="AS16" i="9"/>
  <c r="AT6" i="9"/>
  <c r="AS14" i="9"/>
  <c r="AR20" i="9"/>
  <c r="AR24" i="9" s="1"/>
  <c r="AR26" i="9" s="1"/>
  <c r="AT22" i="9" l="1"/>
  <c r="AT16" i="9"/>
  <c r="AT14" i="9"/>
  <c r="AT8" i="9"/>
  <c r="AT13" i="9"/>
  <c r="AT18" i="9" s="1"/>
  <c r="AU6" i="9"/>
  <c r="AS18" i="9"/>
  <c r="AS20" i="9"/>
  <c r="AS24" i="9" s="1"/>
  <c r="AS26" i="9" s="1"/>
  <c r="AU14" i="9" l="1"/>
  <c r="AU16" i="9"/>
  <c r="AU8" i="9"/>
  <c r="AU13" i="9"/>
  <c r="AU18" i="9" s="1"/>
  <c r="AU22" i="9"/>
  <c r="AV6" i="9"/>
  <c r="AT20" i="9"/>
  <c r="AT24" i="9" s="1"/>
  <c r="AT26" i="9" s="1"/>
  <c r="AW6" i="9" l="1"/>
  <c r="AV16" i="9"/>
  <c r="AV14" i="9"/>
  <c r="AV13" i="9"/>
  <c r="AV18" i="9" s="1"/>
  <c r="AV22" i="9"/>
  <c r="AV8" i="9"/>
  <c r="AV20" i="9" s="1"/>
  <c r="AV24" i="9" s="1"/>
  <c r="AU20" i="9"/>
  <c r="AU24" i="9" s="1"/>
  <c r="AU26" i="9" s="1"/>
  <c r="AV26" i="9" s="1"/>
  <c r="AX6" i="9" l="1"/>
  <c r="AW16" i="9"/>
  <c r="AW14" i="9"/>
  <c r="AW22" i="9"/>
  <c r="AW13" i="9"/>
  <c r="AW18" i="9" s="1"/>
  <c r="AW8" i="9"/>
  <c r="AW20" i="9" l="1"/>
  <c r="AW24" i="9" s="1"/>
  <c r="AW26" i="9" s="1"/>
  <c r="AX16" i="9"/>
  <c r="AX14" i="9"/>
  <c r="AY6" i="9"/>
  <c r="AX22" i="9"/>
  <c r="AX13" i="9"/>
  <c r="AX18" i="9" s="1"/>
  <c r="AX8" i="9"/>
  <c r="AX20" i="9" l="1"/>
  <c r="AX24" i="9" s="1"/>
  <c r="AY14" i="9"/>
  <c r="AY22" i="9"/>
  <c r="AY16" i="9"/>
  <c r="AY13" i="9"/>
  <c r="AY18" i="9" s="1"/>
  <c r="AY8" i="9"/>
  <c r="AY20" i="9" s="1"/>
  <c r="AY24" i="9" s="1"/>
  <c r="AX26" i="9"/>
  <c r="AY26" i="9" l="1"/>
  <c r="H43" i="9" s="1"/>
  <c r="N12" i="8" l="1"/>
  <c r="O12" i="8"/>
  <c r="P12" i="8"/>
  <c r="Q12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Q3" i="8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M12" i="8"/>
  <c r="I8" i="8"/>
  <c r="J8" i="8"/>
  <c r="K8" i="8"/>
  <c r="L8" i="8"/>
  <c r="M8" i="8"/>
  <c r="N8" i="8"/>
  <c r="N20" i="8" s="1"/>
  <c r="N24" i="8" s="1"/>
  <c r="H8" i="8"/>
  <c r="L22" i="8"/>
  <c r="K22" i="8"/>
  <c r="J22" i="8"/>
  <c r="I22" i="8"/>
  <c r="H22" i="8"/>
  <c r="L15" i="8"/>
  <c r="K15" i="8"/>
  <c r="J15" i="8"/>
  <c r="I15" i="8"/>
  <c r="H15" i="8"/>
  <c r="L12" i="8"/>
  <c r="K12" i="8"/>
  <c r="J12" i="8"/>
  <c r="I12" i="8"/>
  <c r="H12" i="8"/>
  <c r="L11" i="8"/>
  <c r="K11" i="8"/>
  <c r="J11" i="8"/>
  <c r="I11" i="8"/>
  <c r="H11" i="8"/>
  <c r="N3" i="8"/>
  <c r="O3" i="8" s="1"/>
  <c r="P3" i="8" s="1"/>
  <c r="L3" i="8"/>
  <c r="K3" i="8"/>
  <c r="J3" i="8" s="1"/>
  <c r="I3" i="8" s="1"/>
  <c r="H3" i="8" s="1"/>
  <c r="O14" i="8" l="1"/>
  <c r="O13" i="8"/>
  <c r="O18" i="8" s="1"/>
  <c r="O8" i="8"/>
  <c r="P8" i="8"/>
  <c r="Q14" i="8" l="1"/>
  <c r="Q13" i="8"/>
  <c r="Q18" i="8" s="1"/>
  <c r="O20" i="8"/>
  <c r="O24" i="8" s="1"/>
  <c r="P14" i="8"/>
  <c r="P13" i="8"/>
  <c r="P18" i="8" s="1"/>
  <c r="P20" i="8" s="1"/>
  <c r="P24" i="8" s="1"/>
  <c r="Q8" i="8"/>
  <c r="R14" i="8" l="1"/>
  <c r="R13" i="8"/>
  <c r="Q20" i="8"/>
  <c r="Q24" i="8" s="1"/>
  <c r="R8" i="8"/>
  <c r="R18" i="8" l="1"/>
  <c r="R20" i="8"/>
  <c r="R24" i="8" s="1"/>
  <c r="S14" i="8"/>
  <c r="S13" i="8"/>
  <c r="S8" i="8"/>
  <c r="S18" i="8" l="1"/>
  <c r="T14" i="8"/>
  <c r="T13" i="8"/>
  <c r="T18" i="8" s="1"/>
  <c r="S20" i="8"/>
  <c r="S24" i="8" s="1"/>
  <c r="T8" i="8"/>
  <c r="U13" i="8" l="1"/>
  <c r="U14" i="8"/>
  <c r="T20" i="8"/>
  <c r="T24" i="8" s="1"/>
  <c r="U8" i="8"/>
  <c r="V13" i="8" l="1"/>
  <c r="V14" i="8"/>
  <c r="U18" i="8"/>
  <c r="U20" i="8" s="1"/>
  <c r="U24" i="8" s="1"/>
  <c r="V8" i="8"/>
  <c r="W13" i="8" l="1"/>
  <c r="W14" i="8"/>
  <c r="V18" i="8"/>
  <c r="V20" i="8" s="1"/>
  <c r="V24" i="8" s="1"/>
  <c r="W8" i="8"/>
  <c r="X13" i="8" l="1"/>
  <c r="X14" i="8"/>
  <c r="W18" i="8"/>
  <c r="W20" i="8" s="1"/>
  <c r="W24" i="8" s="1"/>
  <c r="X8" i="8"/>
  <c r="X18" i="8" l="1"/>
  <c r="Y13" i="8"/>
  <c r="Y14" i="8"/>
  <c r="X20" i="8"/>
  <c r="X24" i="8" s="1"/>
  <c r="Y8" i="8"/>
  <c r="Y18" i="8" l="1"/>
  <c r="Z13" i="8"/>
  <c r="Z14" i="8"/>
  <c r="Y20" i="8"/>
  <c r="Y24" i="8" s="1"/>
  <c r="Z8" i="8"/>
  <c r="AA13" i="8" l="1"/>
  <c r="AA14" i="8"/>
  <c r="AA18" i="8" s="1"/>
  <c r="Z18" i="8"/>
  <c r="Z20" i="8" s="1"/>
  <c r="Z24" i="8" s="1"/>
  <c r="AA8" i="8"/>
  <c r="AB13" i="8" l="1"/>
  <c r="AB14" i="8"/>
  <c r="AA20" i="8"/>
  <c r="AA24" i="8" s="1"/>
  <c r="AB8" i="8"/>
  <c r="AC14" i="8" l="1"/>
  <c r="AC13" i="8"/>
  <c r="AC18" i="8" s="1"/>
  <c r="AB18" i="8"/>
  <c r="AB20" i="8" s="1"/>
  <c r="AB24" i="8" s="1"/>
  <c r="AC8" i="8"/>
  <c r="AD14" i="8" l="1"/>
  <c r="AD13" i="8"/>
  <c r="AD18" i="8" s="1"/>
  <c r="AC20" i="8"/>
  <c r="AC24" i="8" s="1"/>
  <c r="AD8" i="8"/>
  <c r="AE14" i="8" l="1"/>
  <c r="AE13" i="8"/>
  <c r="AE18" i="8" s="1"/>
  <c r="AD20" i="8"/>
  <c r="AD24" i="8" s="1"/>
  <c r="AE8" i="8"/>
  <c r="AF14" i="8" l="1"/>
  <c r="AF13" i="8"/>
  <c r="AF18" i="8" s="1"/>
  <c r="AE20" i="8"/>
  <c r="AE24" i="8" s="1"/>
  <c r="AF8" i="8"/>
  <c r="AG14" i="8" l="1"/>
  <c r="AG13" i="8"/>
  <c r="AG18" i="8" s="1"/>
  <c r="AF20" i="8"/>
  <c r="AF24" i="8" s="1"/>
  <c r="AG8" i="8"/>
  <c r="AH14" i="8" l="1"/>
  <c r="AH13" i="8"/>
  <c r="AH18" i="8" s="1"/>
  <c r="AG20" i="8"/>
  <c r="AG24" i="8" s="1"/>
  <c r="AH8" i="8"/>
  <c r="AI14" i="8" l="1"/>
  <c r="AI13" i="8"/>
  <c r="AI18" i="8" s="1"/>
  <c r="AH20" i="8"/>
  <c r="AH24" i="8" s="1"/>
  <c r="AI8" i="8"/>
  <c r="AI20" i="8" l="1"/>
  <c r="AI24" i="8" s="1"/>
  <c r="AJ14" i="8"/>
  <c r="AJ13" i="8"/>
  <c r="AJ18" i="8" s="1"/>
  <c r="AJ8" i="8"/>
  <c r="AK13" i="8" l="1"/>
  <c r="AK14" i="8"/>
  <c r="AJ20" i="8"/>
  <c r="AJ24" i="8" s="1"/>
  <c r="AK8" i="8"/>
  <c r="AL13" i="8" l="1"/>
  <c r="AL14" i="8"/>
  <c r="AK18" i="8"/>
  <c r="AK20" i="8" s="1"/>
  <c r="AK24" i="8" s="1"/>
  <c r="AL8" i="8"/>
  <c r="AM13" i="8" l="1"/>
  <c r="AM14" i="8"/>
  <c r="AM18" i="8" s="1"/>
  <c r="AL18" i="8"/>
  <c r="AL20" i="8" s="1"/>
  <c r="AL24" i="8" s="1"/>
  <c r="AM8" i="8"/>
  <c r="AM20" i="8" l="1"/>
  <c r="AM24" i="8" s="1"/>
  <c r="AN13" i="8"/>
  <c r="AN14" i="8"/>
  <c r="AN18" i="8" s="1"/>
  <c r="AN8" i="8"/>
  <c r="AO13" i="8" l="1"/>
  <c r="AO14" i="8"/>
  <c r="AN20" i="8"/>
  <c r="AN24" i="8" s="1"/>
  <c r="AO8" i="8"/>
  <c r="AP13" i="8" l="1"/>
  <c r="AP14" i="8"/>
  <c r="AO18" i="8"/>
  <c r="AO20" i="8" s="1"/>
  <c r="AO24" i="8" s="1"/>
  <c r="AP8" i="8"/>
  <c r="AQ13" i="8" l="1"/>
  <c r="AQ14" i="8"/>
  <c r="AP18" i="8"/>
  <c r="AP20" i="8" s="1"/>
  <c r="AP24" i="8" s="1"/>
  <c r="AQ8" i="8"/>
  <c r="AR13" i="8" l="1"/>
  <c r="AR14" i="8"/>
  <c r="AQ18" i="8"/>
  <c r="AQ20" i="8" s="1"/>
  <c r="AQ24" i="8" s="1"/>
  <c r="AR8" i="8"/>
  <c r="AR18" i="8" l="1"/>
  <c r="AS14" i="8"/>
  <c r="AS13" i="8"/>
  <c r="AS18" i="8" s="1"/>
  <c r="AR20" i="8"/>
  <c r="AR24" i="8" s="1"/>
  <c r="AS8" i="8"/>
  <c r="AS20" i="8" l="1"/>
  <c r="AS24" i="8" s="1"/>
  <c r="AT14" i="8"/>
  <c r="AT13" i="8"/>
  <c r="AT18" i="8" s="1"/>
  <c r="AT8" i="8"/>
  <c r="AU14" i="8" l="1"/>
  <c r="AU13" i="8"/>
  <c r="AU18" i="8" s="1"/>
  <c r="AT20" i="8"/>
  <c r="AT24" i="8" s="1"/>
  <c r="AU8" i="8"/>
  <c r="AV14" i="8" l="1"/>
  <c r="AV13" i="8"/>
  <c r="AV18" i="8" s="1"/>
  <c r="AU20" i="8"/>
  <c r="AU24" i="8" s="1"/>
  <c r="AV8" i="8"/>
  <c r="AW14" i="8" l="1"/>
  <c r="AW13" i="8"/>
  <c r="AW18" i="8" s="1"/>
  <c r="AV20" i="8"/>
  <c r="AV24" i="8" s="1"/>
  <c r="AW8" i="8"/>
  <c r="AX13" i="8" l="1"/>
  <c r="AX14" i="8"/>
  <c r="AW20" i="8"/>
  <c r="AW24" i="8" s="1"/>
  <c r="AX8" i="8"/>
  <c r="AY8" i="8" l="1"/>
  <c r="AY14" i="8"/>
  <c r="AY13" i="8"/>
  <c r="AY18" i="8" s="1"/>
  <c r="AY20" i="8" s="1"/>
  <c r="AY24" i="8" s="1"/>
  <c r="AX18" i="8"/>
  <c r="AX20" i="8" s="1"/>
  <c r="AX24" i="8" s="1"/>
</calcChain>
</file>

<file path=xl/sharedStrings.xml><?xml version="1.0" encoding="utf-8"?>
<sst xmlns="http://schemas.openxmlformats.org/spreadsheetml/2006/main" count="142" uniqueCount="65">
  <si>
    <t>Income Taxes</t>
  </si>
  <si>
    <t>Historical</t>
  </si>
  <si>
    <t>Projected</t>
  </si>
  <si>
    <t>Net Income</t>
  </si>
  <si>
    <t>Technical Skills Course</t>
  </si>
  <si>
    <t>Module 1: Basic Excel for Actuaries</t>
  </si>
  <si>
    <t>Project 2: Financial Modeling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</si>
  <si>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</si>
  <si>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</si>
  <si>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</si>
  <si>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</si>
  <si>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</si>
  <si>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</si>
  <si>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</si>
  <si>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</si>
  <si>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</si>
  <si>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</si>
  <si>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</si>
  <si>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</si>
  <si>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</si>
  <si>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</si>
  <si>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</si>
  <si>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</si>
  <si>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</si>
  <si>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</si>
  <si>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</si>
  <si>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</si>
  <si>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</si>
  <si>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</si>
  <si>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</si>
  <si>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</si>
  <si>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>Fixed value</t>
  </si>
  <si>
    <t>Salary Growth % Starting in 2018</t>
  </si>
  <si>
    <t>Savings for Retirement as a % of Annual Salary Starting in 2017</t>
  </si>
  <si>
    <t>Source: Social Security Administration</t>
  </si>
  <si>
    <t>Period Life Table, 2013</t>
  </si>
  <si>
    <t>https://www.ssa.gov/oact/STATS/table4c6.html</t>
  </si>
  <si>
    <t>Exact</t>
  </si>
  <si>
    <t>Male</t>
  </si>
  <si>
    <t>Female</t>
  </si>
  <si>
    <t>age</t>
  </si>
  <si>
    <t>Death probability</t>
  </si>
  <si>
    <t>Projection Year -&gt;</t>
  </si>
  <si>
    <t>Salary Information</t>
  </si>
  <si>
    <t>Life Insurance Calculation</t>
  </si>
  <si>
    <t>Benefit Flat Amount</t>
  </si>
  <si>
    <t>Benefit as % of Salary</t>
  </si>
  <si>
    <t>Total Benefit</t>
  </si>
  <si>
    <r>
      <t>q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Arial"/>
        <family val="2"/>
      </rPr>
      <t>: Probability of dying within one year</t>
    </r>
  </si>
  <si>
    <r>
      <t>p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Arial"/>
        <family val="2"/>
      </rPr>
      <t>: Probability of surviving within one year</t>
    </r>
  </si>
  <si>
    <t>Probability of surviving up to beginning of projection year then dying within one year</t>
  </si>
  <si>
    <t>Expected Benefit if died in projection year</t>
  </si>
  <si>
    <t>Present Value Factor</t>
  </si>
  <si>
    <t>Expected Benefit discounted back to Present Value</t>
  </si>
  <si>
    <t>Life Insurance Premium Required</t>
  </si>
  <si>
    <t>Actuarial Assumptions:</t>
  </si>
  <si>
    <t>Choose</t>
  </si>
  <si>
    <t>y</t>
  </si>
  <si>
    <t>n</t>
  </si>
  <si>
    <t>Benefit % of Salary</t>
  </si>
  <si>
    <t>Lookup values against "Mortality Table" tab -- Female Death Probability</t>
  </si>
  <si>
    <t>Present Value Interest Rate</t>
  </si>
  <si>
    <t>Personal Savings account Balance at Age 65</t>
  </si>
  <si>
    <t>Annual Salary Growth (starting in 2018)</t>
  </si>
  <si>
    <t>Personal Savings Account balance at Age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</si>
</sst>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  <numFmt numFmtId="167" formatCode="_(&quot;$&quot;* #,##0_);_(&quot;$&quot;* \(#,##0\);_(&quot;$&quot;* &quot;-&quot;??_);_(@_)"/>
    <numFmt numFmtId="168" formatCode="_(* #,##0.000000_);_(* \(#,##0.0000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b/>
      <sz val="11"/>
      <color theme="1"/>
      <name val="Calibri"/>
      <family val="2"/>
      <scheme val="minor"/>
    </font>
    <font>
      <sz val="14"/>
      <color rgb="FF212121"/>
      <name val="Segoe UI"/>
      <family val="2"/>
    </font>
    <font>
      <vertAlign val="subscript"/>
      <sz val="10"/>
      <color theme="1"/>
      <name val="Calibri"/>
      <family val="2"/>
      <scheme val="minor"/>
    </font>
    <font>
      <sz val="10"/>
      <color rgb="FF00B050"/>
      <name val="Arial"/>
      <family val="2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sz val="14"/>
      <color rgb="FF0000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FE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3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43" fontId="7" fillId="0" borderId="0" xfId="1" applyFont="1"/>
    <xf numFmtId="44" fontId="3" fillId="0" borderId="0" xfId="0" applyNumberFormat="1" applyFont="1"/>
    <xf numFmtId="164" fontId="3" fillId="5" borderId="0" xfId="2" applyNumberFormat="1" applyFont="1" applyFill="1"/>
    <xf numFmtId="164" fontId="3" fillId="0" borderId="0" xfId="0" applyNumberFormat="1" applyFont="1"/>
    <xf numFmtId="9" fontId="3" fillId="0" borderId="0" xfId="3" applyFont="1"/>
    <xf numFmtId="44" fontId="3" fillId="0" borderId="0" xfId="2" applyFont="1"/>
    <xf numFmtId="44" fontId="3" fillId="5" borderId="0" xfId="2" applyFont="1" applyFill="1"/>
    <xf numFmtId="0" fontId="0" fillId="5" borderId="8" xfId="0" applyFill="1" applyBorder="1"/>
    <xf numFmtId="166" fontId="0" fillId="0" borderId="8" xfId="3" applyNumberFormat="1" applyFont="1" applyBorder="1"/>
    <xf numFmtId="44" fontId="0" fillId="0" borderId="8" xfId="2" applyFont="1" applyBorder="1"/>
    <xf numFmtId="0" fontId="16" fillId="6" borderId="0" xfId="0" applyFont="1" applyFill="1" applyAlignment="1">
      <alignment vertical="center" wrapText="1"/>
    </xf>
    <xf numFmtId="0" fontId="15" fillId="7" borderId="0" xfId="0" applyFont="1" applyFill="1" applyAlignment="1">
      <alignment horizontal="left" vertical="center"/>
    </xf>
    <xf numFmtId="0" fontId="15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right" vertical="center" wrapText="1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right" vertical="center" wrapText="1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right" vertical="center" wrapText="1"/>
    </xf>
    <xf numFmtId="44" fontId="7" fillId="0" borderId="0" xfId="2" applyFont="1"/>
    <xf numFmtId="168" fontId="7" fillId="0" borderId="0" xfId="1" applyNumberFormat="1" applyFont="1"/>
    <xf numFmtId="44" fontId="2" fillId="9" borderId="0" xfId="2" applyFont="1" applyFill="1"/>
    <xf numFmtId="166" fontId="8" fillId="10" borderId="0" xfId="0" applyNumberFormat="1" applyFont="1" applyFill="1"/>
    <xf numFmtId="0" fontId="3" fillId="11" borderId="0" xfId="0" applyFont="1" applyFill="1"/>
    <xf numFmtId="3" fontId="3" fillId="0" borderId="0" xfId="0" applyNumberFormat="1" applyFont="1"/>
    <xf numFmtId="167" fontId="8" fillId="0" borderId="0" xfId="2" applyNumberFormat="1" applyFont="1"/>
    <xf numFmtId="168" fontId="18" fillId="0" borderId="0" xfId="1" applyNumberFormat="1" applyFont="1"/>
    <xf numFmtId="44" fontId="9" fillId="0" borderId="0" xfId="2" applyFont="1"/>
    <xf numFmtId="0" fontId="19" fillId="12" borderId="0" xfId="0" applyFont="1" applyFill="1"/>
    <xf numFmtId="0" fontId="20" fillId="12" borderId="0" xfId="0" applyFont="1" applyFill="1"/>
    <xf numFmtId="166" fontId="21" fillId="12" borderId="0" xfId="0" applyNumberFormat="1" applyFont="1" applyFill="1"/>
    <xf numFmtId="0" fontId="0" fillId="13" borderId="0" xfId="0" applyFill="1"/>
    <xf numFmtId="0" fontId="19" fillId="13" borderId="0" xfId="0" applyFont="1" applyFill="1"/>
    <xf numFmtId="0" fontId="20" fillId="13" borderId="0" xfId="0" applyFont="1" applyFill="1"/>
    <xf numFmtId="166" fontId="21" fillId="13" borderId="0" xfId="0" applyNumberFormat="1" applyFont="1" applyFill="1"/>
    <xf numFmtId="9" fontId="21" fillId="13" borderId="0" xfId="0" applyNumberFormat="1" applyFont="1" applyFill="1"/>
    <xf numFmtId="44" fontId="20" fillId="12" borderId="9" xfId="2" applyFont="1" applyFill="1" applyBorder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 Savings Balance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Savings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Output!$H$3:$AY$3</c:f>
              <c:numCache>
                <c:formatCode>General</c:formatCode>
                <c:ptCount val="4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</c:numCache>
            </c:numRef>
          </c:cat>
          <c:val>
            <c:numRef>
              <c:f>Output!$H$26:$AY$26</c:f>
              <c:numCache>
                <c:formatCode>_(* #,##0.0_);_(* \(#,##0.0\);_(* "-"??_);_(@_)</c:formatCode>
                <c:ptCount val="44"/>
                <c:pt idx="0">
                  <c:v>2449.9999999999982</c:v>
                </c:pt>
                <c:pt idx="1">
                  <c:v>9974.4999999999982</c:v>
                </c:pt>
                <c:pt idx="2">
                  <c:v>22624.244999999995</c:v>
                </c:pt>
                <c:pt idx="3">
                  <c:v>40450.487449999993</c:v>
                </c:pt>
                <c:pt idx="4">
                  <c:v>63504.992324499995</c:v>
                </c:pt>
                <c:pt idx="5" formatCode="_(&quot;$&quot;* #,##0.0_);_(&quot;$&quot;* \(#,##0.0\);_(&quot;$&quot;* &quot;-&quot;??_);_(@_)">
                  <c:v>94657.56720936748</c:v>
                </c:pt>
                <c:pt idx="6" formatCode="_(&quot;$&quot;* #,##0.0_);_(&quot;$&quot;* \(#,##0.0\);_(&quot;$&quot;* &quot;-&quot;??_);_(@_)">
                  <c:v>127867.43071750799</c:v>
                </c:pt>
                <c:pt idx="7" formatCode="_(&quot;$&quot;* #,##0.0_);_(&quot;$&quot;* \(#,##0.0\);_(&quot;$&quot;* &quot;-&quot;??_);_(@_)">
                  <c:v>163213.14217827059</c:v>
                </c:pt>
                <c:pt idx="8" formatCode="_(&quot;$&quot;* #,##0.0_);_(&quot;$&quot;* \(#,##0.0\);_(&quot;$&quot;* &quot;-&quot;??_);_(@_)">
                  <c:v>200775.87031094462</c:v>
                </c:pt>
                <c:pt idx="9" formatCode="_(&quot;$&quot;* #,##0.0_);_(&quot;$&quot;* \(#,##0.0\);_(&quot;$&quot;* &quot;-&quot;??_);_(@_)">
                  <c:v>240639.47529560878</c:v>
                </c:pt>
                <c:pt idx="10" formatCode="_(&quot;$&quot;* #,##0.0_);_(&quot;$&quot;* \(#,##0.0\);_(&quot;$&quot;* &quot;-&quot;??_);_(@_)">
                  <c:v>286490.59336294286</c:v>
                </c:pt>
                <c:pt idx="11" formatCode="_(&quot;$&quot;* #,##0.0_);_(&quot;$&quot;* \(#,##0.0\);_(&quot;$&quot;* &quot;-&quot;??_);_(@_)">
                  <c:v>334872.72397942399</c:v>
                </c:pt>
                <c:pt idx="12" formatCode="_(&quot;$&quot;* #,##0.0_);_(&quot;$&quot;* \(#,##0.0\);_(&quot;$&quot;* &quot;-&quot;??_);_(@_)">
                  <c:v>385879.12970663339</c:v>
                </c:pt>
                <c:pt idx="13" formatCode="_(&quot;$&quot;* #,##0.0_);_(&quot;$&quot;* \(#,##0.0\);_(&quot;$&quot;* &quot;-&quot;??_);_(@_)">
                  <c:v>439606.13096577651</c:v>
                </c:pt>
                <c:pt idx="14" formatCode="_(&quot;$&quot;* #,##0.0_);_(&quot;$&quot;* \(#,##0.0\);_(&quot;$&quot;* &quot;-&quot;??_);_(@_)">
                  <c:v>496153.20167321304</c:v>
                </c:pt>
                <c:pt idx="15" formatCode="_(&quot;$&quot;* #,##0.0_);_(&quot;$&quot;* \(#,##0.0\);_(&quot;$&quot;* &quot;-&quot;??_);_(@_)">
                  <c:v>555623.0678035497</c:v>
                </c:pt>
                <c:pt idx="16" formatCode="_(&quot;$&quot;* #,##0.0_);_(&quot;$&quot;* \(#,##0.0\);_(&quot;$&quot;* &quot;-&quot;??_);_(@_)">
                  <c:v>618121.80896899849</c:v>
                </c:pt>
                <c:pt idx="17" formatCode="_(&quot;$&quot;* #,##0.0_);_(&quot;$&quot;* \(#,##0.0\);_(&quot;$&quot;* &quot;-&quot;??_);_(@_)">
                  <c:v>683758.96310638089</c:v>
                </c:pt>
                <c:pt idx="18" formatCode="_(&quot;$&quot;* #,##0.0_);_(&quot;$&quot;* \(#,##0.0\);_(&quot;$&quot;* &quot;-&quot;??_);_(@_)">
                  <c:v>752647.6343659095</c:v>
                </c:pt>
                <c:pt idx="19" formatCode="_(&quot;$&quot;* #,##0.0_);_(&quot;$&quot;* \(#,##0.0\);_(&quot;$&quot;* &quot;-&quot;??_);_(@_)">
                  <c:v>824904.60429871897</c:v>
                </c:pt>
                <c:pt idx="20" formatCode="_(&quot;$&quot;* #,##0.0_);_(&quot;$&quot;* \(#,##0.0\);_(&quot;$&quot;* &quot;-&quot;??_);_(@_)">
                  <c:v>900650.44644304016</c:v>
                </c:pt>
                <c:pt idx="21" formatCode="_(&quot;$&quot;* #,##0.0_);_(&quot;$&quot;* \(#,##0.0\);_(&quot;$&quot;* &quot;-&quot;??_);_(@_)">
                  <c:v>980009.64441192138</c:v>
                </c:pt>
                <c:pt idx="22" formatCode="_(&quot;$&quot;* #,##0.0_);_(&quot;$&quot;* \(#,##0.0\);_(&quot;$&quot;* &quot;-&quot;??_);_(@_)">
                  <c:v>1063110.713588503</c:v>
                </c:pt>
                <c:pt idx="23" formatCode="_(&quot;$&quot;* #,##0.0_);_(&quot;$&quot;* \(#,##0.0\);_(&quot;$&quot;* &quot;-&quot;??_);_(@_)">
                  <c:v>1150086.3265380452</c:v>
                </c:pt>
                <c:pt idx="24" formatCode="_(&quot;$&quot;* #,##0.0_);_(&quot;$&quot;* \(#,##0.0\);_(&quot;$&quot;* &quot;-&quot;??_);_(@_)">
                  <c:v>1241073.4422492022</c:v>
                </c:pt>
                <c:pt idx="25" formatCode="_(&quot;$&quot;* #,##0.0_);_(&quot;$&quot;* \(#,##0.0\);_(&quot;$&quot;* &quot;-&quot;??_);_(@_)">
                  <c:v>1336213.439320419</c:v>
                </c:pt>
                <c:pt idx="26" formatCode="_(&quot;$&quot;* #,##0.0_);_(&quot;$&quot;* \(#,##0.0\);_(&quot;$&quot;* &quot;-&quot;??_);_(@_)">
                  <c:v>1435652.2532108286</c:v>
                </c:pt>
                <c:pt idx="27" formatCode="_(&quot;$&quot;* #,##0.0_);_(&quot;$&quot;* \(#,##0.0\);_(&quot;$&quot;* &quot;-&quot;??_);_(@_)">
                  <c:v>1539540.5176786124</c:v>
                </c:pt>
                <c:pt idx="28" formatCode="_(&quot;$&quot;* #,##0.0_);_(&quot;$&quot;* \(#,##0.0\);_(&quot;$&quot;* &quot;-&quot;??_);_(@_)">
                  <c:v>1648033.7105335016</c:v>
                </c:pt>
                <c:pt idx="29" formatCode="_(&quot;$&quot;* #,##0.0_);_(&quot;$&quot;* \(#,##0.0\);_(&quot;$&quot;* &quot;-&quot;??_);_(@_)">
                  <c:v>1761292.3038339054</c:v>
                </c:pt>
                <c:pt idx="30" formatCode="_(&quot;$&quot;* #,##0.0_);_(&quot;$&quot;* \(#,##0.0\);_(&quot;$&quot;* &quot;-&quot;??_);_(@_)">
                  <c:v>1897481.9186630873</c:v>
                </c:pt>
                <c:pt idx="31" formatCode="_(&quot;$&quot;* #,##0.0_);_(&quot;$&quot;* \(#,##0.0\);_(&quot;$&quot;* &quot;-&quot;??_);_(@_)">
                  <c:v>2039043.4846228571</c:v>
                </c:pt>
                <c:pt idx="32" formatCode="_(&quot;$&quot;* #,##0.0_);_(&quot;$&quot;* \(#,##0.0\);_(&quot;$&quot;* &quot;-&quot;??_);_(@_)">
                  <c:v>2186157.4541874179</c:v>
                </c:pt>
                <c:pt idx="33" formatCode="_(&quot;$&quot;* #,##0.0_);_(&quot;$&quot;* \(#,##0.0\);_(&quot;$&quot;* &quot;-&quot;??_);_(@_)">
                  <c:v>2339009.9828143036</c:v>
                </c:pt>
                <c:pt idx="34" formatCode="_(&quot;$&quot;* #,##0.0_);_(&quot;$&quot;* \(#,##0.0\);_(&quot;$&quot;* &quot;-&quot;??_);_(@_)">
                  <c:v>2497793.104375015</c:v>
                </c:pt>
                <c:pt idx="35" formatCode="_(&quot;$&quot;* #,##0.0_);_(&quot;$&quot;* \(#,##0.0\);_(&quot;$&quot;* &quot;-&quot;??_);_(@_)">
                  <c:v>2662704.911913692</c:v>
                </c:pt>
                <c:pt idx="36" formatCode="_(&quot;$&quot;* #,##0.0_);_(&quot;$&quot;* \(#,##0.0\);_(&quot;$&quot;* &quot;-&quot;??_);_(@_)">
                  <c:v>2833949.7438946404</c:v>
                </c:pt>
                <c:pt idx="37" formatCode="_(&quot;$&quot;* #,##0.0_);_(&quot;$&quot;* \(#,##0.0\);_(&quot;$&quot;* &quot;-&quot;??_);_(@_)">
                  <c:v>3011738.3761043707</c:v>
                </c:pt>
                <c:pt idx="38" formatCode="_(&quot;$&quot;* #,##0.0_);_(&quot;$&quot;* \(#,##0.0\);_(&quot;$&quot;* &quot;-&quot;??_);_(@_)">
                  <c:v>3196288.2193787866</c:v>
                </c:pt>
                <c:pt idx="39" formatCode="_(&quot;$&quot;* #,##0.0_);_(&quot;$&quot;* \(#,##0.0\);_(&quot;$&quot;* &quot;-&quot;??_);_(@_)">
                  <c:v>3387823.5233313041</c:v>
                </c:pt>
                <c:pt idx="40" formatCode="_(&quot;$&quot;* #,##0.0_);_(&quot;$&quot;* \(#,##0.0\);_(&quot;$&quot;* &quot;-&quot;??_);_(@_)">
                  <c:v>3586575.5862629642</c:v>
                </c:pt>
                <c:pt idx="41" formatCode="_(&quot;$&quot;* #,##0.0_);_(&quot;$&quot;* \(#,##0.0\);_(&quot;$&quot;* &quot;-&quot;??_);_(@_)">
                  <c:v>3792782.9714410501</c:v>
                </c:pt>
                <c:pt idx="42" formatCode="_(&quot;$&quot;* #,##0.0_);_(&quot;$&quot;* \(#,##0.0\);_(&quot;$&quot;* &quot;-&quot;??_);_(@_)">
                  <c:v>4006691.7299383315</c:v>
                </c:pt>
                <c:pt idx="43" formatCode="_(&quot;$&quot;* #,##0.0_);_(&quot;$&quot;* \(#,##0.0\);_(&quot;$&quot;* &quot;-&quot;??_);_(@_)">
                  <c:v>4228555.6302308422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9-4BA1-BD5A-E9625E5CDAE1}"/>
            </c:ext>
          </c:extLst>
        </c:ser>
        <c:ser>
          <c:idx val="1"/>
          <c:order val="1"/>
          <c:tx>
            <c:strRef>
              <c:f>Input!$F$14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Input!$D$15:$D$32</c:f>
              <c:numCache>
                <c:formatCode>General</c:formatCode>
                <c:ptCount val="18"/>
              </c:numCache>
            </c:numRef>
          </c:cat>
          <c:val>
            <c:numRef>
              <c:f>Input!$F$15:$F$32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9-4BA1-BD5A-E9625E5CDAE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9279-4BA1-BD5A-E9625E5CD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551103"/>
        <c:axId val="603886687"/>
      </c:lineChart>
      <c:catAx>
        <c:axId val="4845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886687"/>
        <c:crosses val="autoZero"/>
        <c:auto val="1"/>
        <c:lblAlgn val="ctr"/>
        <c:lblOffset val="100"/>
        <c:noMultiLvlLbl val="0"/>
      </c:catAx>
      <c:valAx>
        <c:axId val="6038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5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19050</xdr:rowOff>
        </xdr:from>
        <xdr:to>
          <xdr:col>9</xdr:col>
          <xdr:colOff>14654</xdr:colOff>
          <xdr:row>6</xdr:row>
          <xdr:rowOff>29308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7</xdr:row>
          <xdr:rowOff>0</xdr:rowOff>
        </xdr:from>
        <xdr:to>
          <xdr:col>10</xdr:col>
          <xdr:colOff>0</xdr:colOff>
          <xdr:row>9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19050</xdr:rowOff>
        </xdr:from>
        <xdr:to>
          <xdr:col>11</xdr:col>
          <xdr:colOff>209550</xdr:colOff>
          <xdr:row>6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15</xdr:row>
      <xdr:rowOff>0</xdr:rowOff>
    </xdr:from>
    <xdr:to>
      <xdr:col>11</xdr:col>
      <xdr:colOff>54220</xdr:colOff>
      <xdr:row>29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BA8D9FA-0F5F-4F0C-8AB4-72B8B3A38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</xdr:row>
          <xdr:rowOff>47625</xdr:rowOff>
        </xdr:from>
        <xdr:to>
          <xdr:col>6</xdr:col>
          <xdr:colOff>9525</xdr:colOff>
          <xdr:row>7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theinfiniteactuary.com/exams/3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9"/>
  <sheetViews>
    <sheetView workbookViewId="0">
      <selection activeCell="D14" sqref="D14"/>
    </sheetView>
  </sheetViews>
  <sheetFormatPr defaultRowHeight="15" x14ac:dyDescent="0.25"/>
  <sheetData>
    <row r="7" spans="1:4" ht="20.25" x14ac:dyDescent="0.3">
      <c r="A7" s="15" t="s">
        <v>4</v>
      </c>
      <c r="B7" s="14"/>
      <c r="C7" s="14"/>
      <c r="D7" s="14"/>
    </row>
    <row r="8" spans="1:4" ht="20.25" x14ac:dyDescent="0.3">
      <c r="A8" s="14" t="s">
        <v>5</v>
      </c>
      <c r="B8" s="14"/>
      <c r="C8" s="14"/>
      <c r="D8" s="14"/>
    </row>
    <row r="9" spans="1:4" ht="20.25" x14ac:dyDescent="0.3">
      <c r="A9" s="14" t="s">
        <v>6</v>
      </c>
    </row>
  </sheetData>
  <hyperlinks>
    <hyperlink ref="A7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1767D-0DBA-4C49-A26B-8D1A94E23BE3}">
  <sheetPr codeName="Sheet7"/>
  <dimension ref="A1:V41"/>
  <sheetViews>
    <sheetView tabSelected="1" zoomScale="130" zoomScaleNormal="130" workbookViewId="0">
      <selection activeCell="D16" sqref="D16"/>
    </sheetView>
  </sheetViews>
  <sheetFormatPr defaultRowHeight="15" x14ac:dyDescent="0.25"/>
  <cols>
    <col min="4" max="4" width="57" bestFit="1" customWidth="1"/>
    <col min="5" max="5" width="28.85546875" customWidth="1"/>
    <col min="6" max="6" width="22" customWidth="1"/>
  </cols>
  <sheetData>
    <row r="1" spans="1:22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2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</row>
    <row r="3" spans="1:22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</row>
    <row r="4" spans="1:22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</row>
    <row r="5" spans="1:22" ht="18.75" x14ac:dyDescent="0.3">
      <c r="A5" s="73"/>
      <c r="B5" s="73"/>
      <c r="C5" s="73"/>
      <c r="D5" s="70" t="s">
        <v>63</v>
      </c>
      <c r="E5" s="71"/>
      <c r="F5" s="72">
        <v>0.03</v>
      </c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</row>
    <row r="6" spans="1:22" ht="18.75" x14ac:dyDescent="0.3">
      <c r="A6" s="73"/>
      <c r="B6" s="73"/>
      <c r="C6" s="73"/>
      <c r="D6" s="74" t="s">
        <v>24</v>
      </c>
      <c r="E6" s="75"/>
      <c r="F6" s="76">
        <v>0.04</v>
      </c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</row>
    <row r="7" spans="1:22" ht="18.75" x14ac:dyDescent="0.3">
      <c r="A7" s="73"/>
      <c r="B7" s="73"/>
      <c r="C7" s="73"/>
      <c r="D7" s="70" t="s">
        <v>25</v>
      </c>
      <c r="E7" s="71"/>
      <c r="F7" s="72">
        <v>0.1</v>
      </c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</row>
    <row r="8" spans="1:22" ht="18.75" x14ac:dyDescent="0.3">
      <c r="A8" s="73"/>
      <c r="B8" s="73"/>
      <c r="C8" s="73"/>
      <c r="D8" s="74" t="s">
        <v>27</v>
      </c>
      <c r="E8" s="75"/>
      <c r="F8" s="76">
        <v>0.05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</row>
    <row r="9" spans="1:22" ht="18.75" x14ac:dyDescent="0.3">
      <c r="A9" s="73"/>
      <c r="B9" s="73"/>
      <c r="C9" s="73"/>
      <c r="D9" s="70" t="s">
        <v>29</v>
      </c>
      <c r="E9" s="71"/>
      <c r="F9" s="72">
        <v>0.28000000000000003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</row>
    <row r="10" spans="1:22" ht="18.75" x14ac:dyDescent="0.3">
      <c r="A10" s="73"/>
      <c r="B10" s="73"/>
      <c r="C10" s="73"/>
      <c r="D10" s="74" t="s">
        <v>28</v>
      </c>
      <c r="E10" s="75"/>
      <c r="F10" s="77">
        <v>1.4999999999999999E-2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</row>
    <row r="11" spans="1:22" ht="19.5" thickBot="1" x14ac:dyDescent="0.35">
      <c r="A11" s="73"/>
      <c r="B11" s="73"/>
      <c r="C11" s="73"/>
      <c r="D11" s="75"/>
      <c r="E11" s="75"/>
      <c r="F11" s="75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</row>
    <row r="12" spans="1:22" ht="19.5" thickBot="1" x14ac:dyDescent="0.35">
      <c r="A12" s="73"/>
      <c r="B12" s="73"/>
      <c r="C12" s="73"/>
      <c r="D12" s="70" t="s">
        <v>64</v>
      </c>
      <c r="E12" s="71"/>
      <c r="F12" s="78">
        <v>4228555.6301999995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</row>
    <row r="13" spans="1:22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</row>
    <row r="14" spans="1:22" x14ac:dyDescent="0.25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</row>
    <row r="15" spans="1:22" x14ac:dyDescent="0.25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</row>
    <row r="16" spans="1:22" x14ac:dyDescent="0.25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</row>
    <row r="17" spans="1:22" x14ac:dyDescent="0.25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</row>
    <row r="18" spans="1:22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</row>
    <row r="19" spans="1:22" x14ac:dyDescent="0.25">
      <c r="A19" s="73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</row>
    <row r="20" spans="1:22" x14ac:dyDescent="0.25">
      <c r="A20" s="73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</row>
    <row r="21" spans="1:22" x14ac:dyDescent="0.25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</row>
    <row r="22" spans="1:22" x14ac:dyDescent="0.25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</row>
    <row r="23" spans="1:22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</row>
    <row r="24" spans="1:22" x14ac:dyDescent="0.25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</row>
    <row r="25" spans="1:22" x14ac:dyDescent="0.25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</row>
    <row r="26" spans="1:22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</row>
    <row r="27" spans="1:22" x14ac:dyDescent="0.2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</row>
    <row r="28" spans="1:22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</row>
    <row r="29" spans="1:22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</row>
    <row r="30" spans="1:22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</row>
    <row r="31" spans="1:22" x14ac:dyDescent="0.25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</row>
    <row r="32" spans="1:22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</row>
    <row r="33" spans="1:22" x14ac:dyDescent="0.25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</row>
    <row r="34" spans="1:22" x14ac:dyDescent="0.25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</row>
    <row r="35" spans="1:22" x14ac:dyDescent="0.25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</row>
    <row r="36" spans="1:22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</row>
    <row r="37" spans="1:22" x14ac:dyDescent="0.25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</row>
    <row r="38" spans="1:22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</row>
    <row r="39" spans="1:22" x14ac:dyDescent="0.25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</row>
    <row r="40" spans="1:22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</row>
    <row r="41" spans="1:22" x14ac:dyDescent="0.25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7</xdr:col>
                    <xdr:colOff>9525</xdr:colOff>
                    <xdr:row>4</xdr:row>
                    <xdr:rowOff>19050</xdr:rowOff>
                  </from>
                  <to>
                    <xdr:col>9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puts">
                <anchor moveWithCells="1" sizeWithCells="1">
                  <from>
                    <xdr:col>6</xdr:col>
                    <xdr:colOff>590550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Output">
                <anchor moveWithCells="1" sizeWithCells="1">
                  <from>
                    <xdr:col>9</xdr:col>
                    <xdr:colOff>228600</xdr:colOff>
                    <xdr:row>4</xdr:row>
                    <xdr:rowOff>19050</xdr:rowOff>
                  </from>
                  <to>
                    <xdr:col>11</xdr:col>
                    <xdr:colOff>209550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3385D-B5A2-47C9-BCD0-3B4B48F50ECB}">
  <sheetPr codeName="Sheet8"/>
  <dimension ref="A1:AY39"/>
  <sheetViews>
    <sheetView workbookViewId="0">
      <selection activeCell="F16" sqref="F16"/>
    </sheetView>
  </sheetViews>
  <sheetFormatPr defaultColWidth="9.140625" defaultRowHeight="12.75" x14ac:dyDescent="0.2"/>
  <cols>
    <col min="1" max="1" width="9.140625" style="2"/>
    <col min="2" max="2" width="4" style="2" customWidth="1"/>
    <col min="3" max="7" width="9.140625" style="2"/>
    <col min="8" max="8" width="10.42578125" style="2" bestFit="1" customWidth="1"/>
    <col min="9" max="30" width="11.28515625" style="2" bestFit="1" customWidth="1"/>
    <col min="31" max="51" width="12.85546875" style="2" bestFit="1" customWidth="1"/>
    <col min="52" max="16384" width="9.140625" style="2"/>
  </cols>
  <sheetData>
    <row r="1" spans="1:51" x14ac:dyDescent="0.2">
      <c r="A1" s="6"/>
      <c r="G1" s="35" t="s">
        <v>17</v>
      </c>
      <c r="H1" s="34">
        <v>22</v>
      </c>
      <c r="I1" s="2">
        <v>23</v>
      </c>
      <c r="J1" s="2">
        <v>24</v>
      </c>
      <c r="K1" s="34">
        <v>25</v>
      </c>
      <c r="L1" s="2">
        <v>26</v>
      </c>
      <c r="M1" s="2">
        <v>27</v>
      </c>
      <c r="N1" s="34">
        <v>28</v>
      </c>
      <c r="O1" s="2">
        <v>29</v>
      </c>
      <c r="P1" s="2">
        <v>30</v>
      </c>
      <c r="Q1" s="34">
        <v>31</v>
      </c>
      <c r="R1" s="2">
        <v>32</v>
      </c>
      <c r="S1" s="2">
        <v>33</v>
      </c>
      <c r="T1" s="34">
        <v>34</v>
      </c>
      <c r="U1" s="2">
        <v>35</v>
      </c>
      <c r="V1" s="2">
        <v>36</v>
      </c>
      <c r="W1" s="34">
        <v>37</v>
      </c>
      <c r="X1" s="2">
        <v>38</v>
      </c>
      <c r="Y1" s="2">
        <v>39</v>
      </c>
      <c r="Z1" s="34">
        <v>40</v>
      </c>
      <c r="AA1" s="2">
        <v>41</v>
      </c>
      <c r="AB1" s="2">
        <v>42</v>
      </c>
      <c r="AC1" s="34">
        <v>43</v>
      </c>
      <c r="AD1" s="2">
        <v>44</v>
      </c>
      <c r="AE1" s="2">
        <v>45</v>
      </c>
      <c r="AF1" s="34">
        <v>46</v>
      </c>
      <c r="AG1" s="2">
        <v>47</v>
      </c>
      <c r="AH1" s="2">
        <v>48</v>
      </c>
      <c r="AI1" s="34">
        <v>49</v>
      </c>
      <c r="AJ1" s="2">
        <v>50</v>
      </c>
      <c r="AK1" s="2">
        <v>51</v>
      </c>
      <c r="AL1" s="34">
        <v>52</v>
      </c>
      <c r="AM1" s="2">
        <v>53</v>
      </c>
      <c r="AN1" s="2">
        <v>54</v>
      </c>
      <c r="AO1" s="34">
        <v>55</v>
      </c>
      <c r="AP1" s="2">
        <v>56</v>
      </c>
      <c r="AQ1" s="2">
        <v>57</v>
      </c>
      <c r="AR1" s="34">
        <v>58</v>
      </c>
      <c r="AS1" s="2">
        <v>59</v>
      </c>
      <c r="AT1" s="2">
        <v>60</v>
      </c>
      <c r="AU1" s="34">
        <v>61</v>
      </c>
      <c r="AV1" s="2">
        <v>62</v>
      </c>
      <c r="AW1" s="2">
        <v>63</v>
      </c>
      <c r="AX1" s="34">
        <v>64</v>
      </c>
      <c r="AY1" s="2">
        <v>65</v>
      </c>
    </row>
    <row r="2" spans="1:51" x14ac:dyDescent="0.2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</row>
    <row r="3" spans="1:51" x14ac:dyDescent="0.2">
      <c r="H3" s="27">
        <f t="shared" ref="H3:J3" si="0">I3-1</f>
        <v>2012</v>
      </c>
      <c r="I3" s="27">
        <f t="shared" si="0"/>
        <v>2013</v>
      </c>
      <c r="J3" s="27">
        <f t="shared" si="0"/>
        <v>2014</v>
      </c>
      <c r="K3" s="27">
        <f>L3-1</f>
        <v>2015</v>
      </c>
      <c r="L3" s="28">
        <f>M3-1</f>
        <v>2016</v>
      </c>
      <c r="M3" s="19">
        <v>2017</v>
      </c>
      <c r="N3" s="27">
        <f>M3+1</f>
        <v>2018</v>
      </c>
      <c r="O3" s="27">
        <f t="shared" ref="O3:AY3" si="1">N3+1</f>
        <v>2019</v>
      </c>
      <c r="P3" s="27">
        <f t="shared" si="1"/>
        <v>2020</v>
      </c>
      <c r="Q3" s="27">
        <f t="shared" si="1"/>
        <v>2021</v>
      </c>
      <c r="R3" s="27">
        <f t="shared" si="1"/>
        <v>2022</v>
      </c>
      <c r="S3" s="27">
        <f t="shared" si="1"/>
        <v>2023</v>
      </c>
      <c r="T3" s="27">
        <f t="shared" si="1"/>
        <v>2024</v>
      </c>
      <c r="U3" s="27">
        <f t="shared" si="1"/>
        <v>2025</v>
      </c>
      <c r="V3" s="27">
        <f t="shared" si="1"/>
        <v>2026</v>
      </c>
      <c r="W3" s="27">
        <f t="shared" si="1"/>
        <v>2027</v>
      </c>
      <c r="X3" s="27">
        <f t="shared" si="1"/>
        <v>2028</v>
      </c>
      <c r="Y3" s="27">
        <f t="shared" si="1"/>
        <v>2029</v>
      </c>
      <c r="Z3" s="27">
        <f t="shared" si="1"/>
        <v>2030</v>
      </c>
      <c r="AA3" s="27">
        <f t="shared" si="1"/>
        <v>2031</v>
      </c>
      <c r="AB3" s="27">
        <f t="shared" si="1"/>
        <v>2032</v>
      </c>
      <c r="AC3" s="27">
        <f t="shared" si="1"/>
        <v>2033</v>
      </c>
      <c r="AD3" s="27">
        <f t="shared" si="1"/>
        <v>2034</v>
      </c>
      <c r="AE3" s="27">
        <f t="shared" si="1"/>
        <v>2035</v>
      </c>
      <c r="AF3" s="27">
        <f t="shared" si="1"/>
        <v>2036</v>
      </c>
      <c r="AG3" s="27">
        <f t="shared" si="1"/>
        <v>2037</v>
      </c>
      <c r="AH3" s="27">
        <f t="shared" si="1"/>
        <v>2038</v>
      </c>
      <c r="AI3" s="27">
        <f t="shared" si="1"/>
        <v>2039</v>
      </c>
      <c r="AJ3" s="27">
        <f t="shared" si="1"/>
        <v>2040</v>
      </c>
      <c r="AK3" s="27">
        <f t="shared" si="1"/>
        <v>2041</v>
      </c>
      <c r="AL3" s="27">
        <f t="shared" si="1"/>
        <v>2042</v>
      </c>
      <c r="AM3" s="27">
        <f t="shared" si="1"/>
        <v>2043</v>
      </c>
      <c r="AN3" s="27">
        <f t="shared" si="1"/>
        <v>2044</v>
      </c>
      <c r="AO3" s="27">
        <f t="shared" si="1"/>
        <v>2045</v>
      </c>
      <c r="AP3" s="27">
        <f t="shared" si="1"/>
        <v>2046</v>
      </c>
      <c r="AQ3" s="27">
        <f t="shared" si="1"/>
        <v>2047</v>
      </c>
      <c r="AR3" s="27">
        <f t="shared" si="1"/>
        <v>2048</v>
      </c>
      <c r="AS3" s="27">
        <f t="shared" si="1"/>
        <v>2049</v>
      </c>
      <c r="AT3" s="27">
        <f t="shared" si="1"/>
        <v>2050</v>
      </c>
      <c r="AU3" s="27">
        <f t="shared" si="1"/>
        <v>2051</v>
      </c>
      <c r="AV3" s="27">
        <f t="shared" si="1"/>
        <v>2052</v>
      </c>
      <c r="AW3" s="27">
        <f t="shared" si="1"/>
        <v>2053</v>
      </c>
      <c r="AX3" s="27">
        <f t="shared" si="1"/>
        <v>2054</v>
      </c>
      <c r="AY3" s="27">
        <f t="shared" si="1"/>
        <v>2055</v>
      </c>
    </row>
    <row r="4" spans="1:51" x14ac:dyDescent="0.2">
      <c r="H4" s="29"/>
      <c r="I4" s="29"/>
      <c r="J4" s="29"/>
      <c r="K4" s="29"/>
      <c r="L4" s="30"/>
      <c r="M4" s="29"/>
      <c r="N4" s="29"/>
      <c r="O4" s="29"/>
      <c r="P4" s="29"/>
    </row>
    <row r="5" spans="1:51" x14ac:dyDescent="0.2">
      <c r="B5" s="4" t="s">
        <v>9</v>
      </c>
      <c r="H5" s="29"/>
      <c r="I5" s="29"/>
      <c r="J5" s="29"/>
      <c r="K5" s="29"/>
      <c r="L5" s="30"/>
      <c r="M5" s="29"/>
      <c r="N5" s="29"/>
      <c r="O5" s="29"/>
      <c r="P5" s="29"/>
    </row>
    <row r="6" spans="1:51" x14ac:dyDescent="0.2">
      <c r="B6" s="2" t="s">
        <v>15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1">
        <v>100000</v>
      </c>
      <c r="N6" s="31">
        <f>M6*(1+N31)</f>
        <v>103000</v>
      </c>
      <c r="O6" s="31">
        <f t="shared" ref="O6:AY6" si="2">N6*(1+O31)</f>
        <v>106090</v>
      </c>
      <c r="P6" s="31">
        <f t="shared" si="2"/>
        <v>109272.7</v>
      </c>
      <c r="Q6" s="31">
        <f t="shared" si="2"/>
        <v>112550.88099999999</v>
      </c>
      <c r="R6" s="31">
        <f t="shared" si="2"/>
        <v>115927.40742999999</v>
      </c>
      <c r="S6" s="31">
        <f t="shared" si="2"/>
        <v>119405.2296529</v>
      </c>
      <c r="T6" s="31">
        <f t="shared" si="2"/>
        <v>122987.386542487</v>
      </c>
      <c r="U6" s="31">
        <f t="shared" si="2"/>
        <v>126677.00813876161</v>
      </c>
      <c r="V6" s="31">
        <f t="shared" si="2"/>
        <v>130477.31838292447</v>
      </c>
      <c r="W6" s="31">
        <f t="shared" si="2"/>
        <v>134391.6379344122</v>
      </c>
      <c r="X6" s="31">
        <f t="shared" si="2"/>
        <v>138423.38707244457</v>
      </c>
      <c r="Y6" s="31">
        <f t="shared" si="2"/>
        <v>142576.08868461792</v>
      </c>
      <c r="Z6" s="31">
        <f t="shared" si="2"/>
        <v>146853.37134515645</v>
      </c>
      <c r="AA6" s="31">
        <f t="shared" si="2"/>
        <v>151258.97248551116</v>
      </c>
      <c r="AB6" s="31">
        <f t="shared" si="2"/>
        <v>155796.74166007648</v>
      </c>
      <c r="AC6" s="31">
        <f t="shared" si="2"/>
        <v>160470.6439098788</v>
      </c>
      <c r="AD6" s="31">
        <f t="shared" si="2"/>
        <v>165284.76322717516</v>
      </c>
      <c r="AE6" s="31">
        <f t="shared" si="2"/>
        <v>170243.30612399042</v>
      </c>
      <c r="AF6" s="31">
        <f t="shared" si="2"/>
        <v>175350.60530771012</v>
      </c>
      <c r="AG6" s="31">
        <f t="shared" si="2"/>
        <v>180611.12346694144</v>
      </c>
      <c r="AH6" s="31">
        <f t="shared" si="2"/>
        <v>186029.4571709497</v>
      </c>
      <c r="AI6" s="31">
        <f t="shared" si="2"/>
        <v>191610.34088607819</v>
      </c>
      <c r="AJ6" s="31">
        <f t="shared" si="2"/>
        <v>197358.65111266053</v>
      </c>
      <c r="AK6" s="31">
        <f t="shared" si="2"/>
        <v>203279.41064604034</v>
      </c>
      <c r="AL6" s="31">
        <f t="shared" si="2"/>
        <v>209377.79296542157</v>
      </c>
      <c r="AM6" s="31">
        <f t="shared" si="2"/>
        <v>215659.12675438423</v>
      </c>
      <c r="AN6" s="31">
        <f t="shared" si="2"/>
        <v>222128.90055701576</v>
      </c>
      <c r="AO6" s="31">
        <f t="shared" si="2"/>
        <v>228792.76757372625</v>
      </c>
      <c r="AP6" s="31">
        <f t="shared" si="2"/>
        <v>235656.55060093803</v>
      </c>
      <c r="AQ6" s="31">
        <f t="shared" si="2"/>
        <v>242726.24711896619</v>
      </c>
      <c r="AR6" s="31">
        <f t="shared" si="2"/>
        <v>250008.03453253518</v>
      </c>
      <c r="AS6" s="31">
        <f t="shared" si="2"/>
        <v>257508.27556851125</v>
      </c>
      <c r="AT6" s="31">
        <f t="shared" si="2"/>
        <v>265233.52383556659</v>
      </c>
      <c r="AU6" s="31">
        <f t="shared" si="2"/>
        <v>273190.52955063363</v>
      </c>
      <c r="AV6" s="31">
        <f t="shared" si="2"/>
        <v>281386.24543715263</v>
      </c>
      <c r="AW6" s="31">
        <f t="shared" si="2"/>
        <v>289827.83280026721</v>
      </c>
      <c r="AX6" s="31">
        <f t="shared" si="2"/>
        <v>298522.66778427525</v>
      </c>
      <c r="AY6" s="31">
        <f t="shared" si="2"/>
        <v>307478.3478178035</v>
      </c>
    </row>
    <row r="7" spans="1:51" x14ac:dyDescent="0.2">
      <c r="H7" s="32"/>
      <c r="I7" s="32"/>
      <c r="J7" s="32"/>
      <c r="K7" s="32"/>
      <c r="L7" s="33"/>
      <c r="M7" s="32"/>
      <c r="N7" s="32"/>
      <c r="O7" s="32"/>
      <c r="P7" s="32"/>
    </row>
    <row r="8" spans="1:51" x14ac:dyDescent="0.2">
      <c r="C8" s="3" t="s">
        <v>10</v>
      </c>
      <c r="H8" s="13">
        <f>SUM(H6)</f>
        <v>50000</v>
      </c>
      <c r="I8" s="13">
        <f t="shared" ref="I8:AY8" si="3">SUM(I6)</f>
        <v>60000</v>
      </c>
      <c r="J8" s="13">
        <f t="shared" si="3"/>
        <v>70000</v>
      </c>
      <c r="K8" s="13">
        <f t="shared" si="3"/>
        <v>80000</v>
      </c>
      <c r="L8" s="13">
        <f t="shared" si="3"/>
        <v>90000</v>
      </c>
      <c r="M8" s="13">
        <f t="shared" si="3"/>
        <v>100000</v>
      </c>
      <c r="N8" s="13">
        <f t="shared" si="3"/>
        <v>103000</v>
      </c>
      <c r="O8" s="13">
        <f t="shared" si="3"/>
        <v>106090</v>
      </c>
      <c r="P8" s="13">
        <f t="shared" si="3"/>
        <v>109272.7</v>
      </c>
      <c r="Q8" s="13">
        <f t="shared" si="3"/>
        <v>112550.88099999999</v>
      </c>
      <c r="R8" s="13">
        <f t="shared" si="3"/>
        <v>115927.40742999999</v>
      </c>
      <c r="S8" s="13">
        <f t="shared" si="3"/>
        <v>119405.2296529</v>
      </c>
      <c r="T8" s="13">
        <f t="shared" si="3"/>
        <v>122987.386542487</v>
      </c>
      <c r="U8" s="13">
        <f t="shared" si="3"/>
        <v>126677.00813876161</v>
      </c>
      <c r="V8" s="13">
        <f t="shared" si="3"/>
        <v>130477.31838292447</v>
      </c>
      <c r="W8" s="13">
        <f t="shared" si="3"/>
        <v>134391.6379344122</v>
      </c>
      <c r="X8" s="13">
        <f t="shared" si="3"/>
        <v>138423.38707244457</v>
      </c>
      <c r="Y8" s="13">
        <f t="shared" si="3"/>
        <v>142576.08868461792</v>
      </c>
      <c r="Z8" s="13">
        <f t="shared" si="3"/>
        <v>146853.37134515645</v>
      </c>
      <c r="AA8" s="13">
        <f t="shared" si="3"/>
        <v>151258.97248551116</v>
      </c>
      <c r="AB8" s="13">
        <f t="shared" si="3"/>
        <v>155796.74166007648</v>
      </c>
      <c r="AC8" s="13">
        <f t="shared" si="3"/>
        <v>160470.6439098788</v>
      </c>
      <c r="AD8" s="13">
        <f t="shared" si="3"/>
        <v>165284.76322717516</v>
      </c>
      <c r="AE8" s="13">
        <f t="shared" si="3"/>
        <v>170243.30612399042</v>
      </c>
      <c r="AF8" s="13">
        <f t="shared" si="3"/>
        <v>175350.60530771012</v>
      </c>
      <c r="AG8" s="13">
        <f t="shared" si="3"/>
        <v>180611.12346694144</v>
      </c>
      <c r="AH8" s="13">
        <f t="shared" si="3"/>
        <v>186029.4571709497</v>
      </c>
      <c r="AI8" s="13">
        <f t="shared" si="3"/>
        <v>191610.34088607819</v>
      </c>
      <c r="AJ8" s="13">
        <f t="shared" si="3"/>
        <v>197358.65111266053</v>
      </c>
      <c r="AK8" s="13">
        <f t="shared" si="3"/>
        <v>203279.41064604034</v>
      </c>
      <c r="AL8" s="13">
        <f t="shared" si="3"/>
        <v>209377.79296542157</v>
      </c>
      <c r="AM8" s="13">
        <f t="shared" si="3"/>
        <v>215659.12675438423</v>
      </c>
      <c r="AN8" s="13">
        <f t="shared" si="3"/>
        <v>222128.90055701576</v>
      </c>
      <c r="AO8" s="13">
        <f t="shared" si="3"/>
        <v>228792.76757372625</v>
      </c>
      <c r="AP8" s="13">
        <f t="shared" si="3"/>
        <v>235656.55060093803</v>
      </c>
      <c r="AQ8" s="13">
        <f t="shared" si="3"/>
        <v>242726.24711896619</v>
      </c>
      <c r="AR8" s="13">
        <f t="shared" si="3"/>
        <v>250008.03453253518</v>
      </c>
      <c r="AS8" s="13">
        <f t="shared" si="3"/>
        <v>257508.27556851125</v>
      </c>
      <c r="AT8" s="13">
        <f t="shared" si="3"/>
        <v>265233.52383556659</v>
      </c>
      <c r="AU8" s="13">
        <f t="shared" si="3"/>
        <v>273190.52955063363</v>
      </c>
      <c r="AV8" s="13">
        <f t="shared" si="3"/>
        <v>281386.24543715263</v>
      </c>
      <c r="AW8" s="13">
        <f t="shared" si="3"/>
        <v>289827.83280026721</v>
      </c>
      <c r="AX8" s="13">
        <f t="shared" si="3"/>
        <v>298522.66778427525</v>
      </c>
      <c r="AY8" s="13">
        <f t="shared" si="3"/>
        <v>307478.3478178035</v>
      </c>
    </row>
    <row r="9" spans="1:51" x14ac:dyDescent="0.2">
      <c r="H9" s="12"/>
      <c r="I9" s="12"/>
      <c r="J9" s="12"/>
      <c r="K9" s="12"/>
      <c r="L9" s="25"/>
      <c r="M9" s="12"/>
      <c r="N9" s="12"/>
      <c r="O9" s="12"/>
      <c r="P9" s="12"/>
    </row>
    <row r="10" spans="1:51" x14ac:dyDescent="0.2">
      <c r="B10" s="4" t="s">
        <v>11</v>
      </c>
      <c r="H10" s="12"/>
      <c r="I10" s="12"/>
      <c r="J10" s="12"/>
      <c r="K10" s="12"/>
      <c r="L10" s="25"/>
      <c r="M10" s="12"/>
      <c r="N10" s="12"/>
      <c r="O10" s="12"/>
      <c r="P10" s="12"/>
    </row>
    <row r="11" spans="1:51" x14ac:dyDescent="0.2">
      <c r="B11" s="2" t="s">
        <v>7</v>
      </c>
      <c r="H11" s="10">
        <f>1500*12</f>
        <v>18000</v>
      </c>
      <c r="I11" s="10">
        <f t="shared" ref="I11:AK11" si="4">1500*12</f>
        <v>18000</v>
      </c>
      <c r="J11" s="10">
        <f t="shared" si="4"/>
        <v>18000</v>
      </c>
      <c r="K11" s="10">
        <f t="shared" si="4"/>
        <v>18000</v>
      </c>
      <c r="L11" s="24">
        <f t="shared" si="4"/>
        <v>18000</v>
      </c>
      <c r="M11" s="24">
        <f t="shared" si="4"/>
        <v>18000</v>
      </c>
      <c r="N11" s="24">
        <f t="shared" si="4"/>
        <v>18000</v>
      </c>
      <c r="O11" s="24">
        <f t="shared" si="4"/>
        <v>18000</v>
      </c>
      <c r="P11" s="24">
        <f t="shared" si="4"/>
        <v>18000</v>
      </c>
      <c r="Q11" s="24">
        <f t="shared" si="4"/>
        <v>18000</v>
      </c>
      <c r="R11" s="24">
        <f t="shared" si="4"/>
        <v>18000</v>
      </c>
      <c r="S11" s="24">
        <f t="shared" si="4"/>
        <v>18000</v>
      </c>
      <c r="T11" s="24">
        <f t="shared" si="4"/>
        <v>18000</v>
      </c>
      <c r="U11" s="24">
        <f t="shared" si="4"/>
        <v>18000</v>
      </c>
      <c r="V11" s="24">
        <f t="shared" si="4"/>
        <v>18000</v>
      </c>
      <c r="W11" s="24">
        <f t="shared" si="4"/>
        <v>18000</v>
      </c>
      <c r="X11" s="24">
        <f t="shared" si="4"/>
        <v>18000</v>
      </c>
      <c r="Y11" s="24">
        <f t="shared" si="4"/>
        <v>18000</v>
      </c>
      <c r="Z11" s="24">
        <f t="shared" si="4"/>
        <v>18000</v>
      </c>
      <c r="AA11" s="24">
        <f t="shared" si="4"/>
        <v>18000</v>
      </c>
      <c r="AB11" s="24">
        <f t="shared" si="4"/>
        <v>18000</v>
      </c>
      <c r="AC11" s="24">
        <f t="shared" si="4"/>
        <v>18000</v>
      </c>
      <c r="AD11" s="24">
        <f t="shared" si="4"/>
        <v>18000</v>
      </c>
      <c r="AE11" s="24">
        <f t="shared" si="4"/>
        <v>18000</v>
      </c>
      <c r="AF11" s="24">
        <f t="shared" si="4"/>
        <v>18000</v>
      </c>
      <c r="AG11" s="24">
        <f t="shared" si="4"/>
        <v>18000</v>
      </c>
      <c r="AH11" s="24">
        <f t="shared" si="4"/>
        <v>18000</v>
      </c>
      <c r="AI11" s="24">
        <f t="shared" si="4"/>
        <v>18000</v>
      </c>
      <c r="AJ11" s="24">
        <f t="shared" si="4"/>
        <v>18000</v>
      </c>
      <c r="AK11" s="24">
        <f t="shared" si="4"/>
        <v>18000</v>
      </c>
      <c r="AL11" s="24"/>
    </row>
    <row r="12" spans="1:51" x14ac:dyDescent="0.2">
      <c r="B12" s="2" t="s">
        <v>16</v>
      </c>
      <c r="H12" s="10">
        <f>300*12</f>
        <v>3600</v>
      </c>
      <c r="I12" s="10">
        <f t="shared" ref="I12:Q12" si="5">300*12</f>
        <v>3600</v>
      </c>
      <c r="J12" s="10">
        <f t="shared" si="5"/>
        <v>3600</v>
      </c>
      <c r="K12" s="10">
        <f t="shared" si="5"/>
        <v>3600</v>
      </c>
      <c r="L12" s="24">
        <f t="shared" si="5"/>
        <v>3600</v>
      </c>
      <c r="M12" s="24">
        <f t="shared" si="5"/>
        <v>3600</v>
      </c>
      <c r="N12" s="24">
        <f t="shared" si="5"/>
        <v>3600</v>
      </c>
      <c r="O12" s="24">
        <f t="shared" si="5"/>
        <v>3600</v>
      </c>
      <c r="P12" s="24">
        <f t="shared" si="5"/>
        <v>3600</v>
      </c>
      <c r="Q12" s="24">
        <f t="shared" si="5"/>
        <v>3600</v>
      </c>
    </row>
    <row r="13" spans="1:51" x14ac:dyDescent="0.2">
      <c r="B13" s="2" t="s">
        <v>18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4000</v>
      </c>
      <c r="N13" s="12">
        <f t="shared" ref="N13:AY13" si="6">N6*N34</f>
        <v>4120</v>
      </c>
      <c r="O13" s="12">
        <f t="shared" si="6"/>
        <v>4243.6000000000004</v>
      </c>
      <c r="P13" s="12">
        <f t="shared" si="6"/>
        <v>4370.9080000000004</v>
      </c>
      <c r="Q13" s="12">
        <f t="shared" si="6"/>
        <v>4502.0352400000002</v>
      </c>
      <c r="R13" s="12">
        <f t="shared" si="6"/>
        <v>4637.0962971999998</v>
      </c>
      <c r="S13" s="12">
        <f t="shared" si="6"/>
        <v>4776.2091861159997</v>
      </c>
      <c r="T13" s="12">
        <f t="shared" si="6"/>
        <v>4919.4954616994801</v>
      </c>
      <c r="U13" s="12">
        <f t="shared" si="6"/>
        <v>5067.0803255504643</v>
      </c>
      <c r="V13" s="12">
        <f t="shared" si="6"/>
        <v>5219.0927353169791</v>
      </c>
      <c r="W13" s="12">
        <f t="shared" si="6"/>
        <v>5375.6655173764875</v>
      </c>
      <c r="X13" s="12">
        <f t="shared" si="6"/>
        <v>5536.935482897783</v>
      </c>
      <c r="Y13" s="12">
        <f t="shared" si="6"/>
        <v>5703.0435473847165</v>
      </c>
      <c r="Z13" s="12">
        <f t="shared" si="6"/>
        <v>5874.1348538062584</v>
      </c>
      <c r="AA13" s="12">
        <f t="shared" si="6"/>
        <v>6050.3588994204465</v>
      </c>
      <c r="AB13" s="12">
        <f t="shared" si="6"/>
        <v>6231.8696664030595</v>
      </c>
      <c r="AC13" s="12">
        <f t="shared" si="6"/>
        <v>6418.825756395152</v>
      </c>
      <c r="AD13" s="12">
        <f t="shared" si="6"/>
        <v>6611.3905290870071</v>
      </c>
      <c r="AE13" s="12">
        <f t="shared" si="6"/>
        <v>6809.7322449596168</v>
      </c>
      <c r="AF13" s="12">
        <f t="shared" si="6"/>
        <v>7014.0242123084054</v>
      </c>
      <c r="AG13" s="12">
        <f t="shared" si="6"/>
        <v>7224.4449386776578</v>
      </c>
      <c r="AH13" s="12">
        <f t="shared" si="6"/>
        <v>7441.1782868379878</v>
      </c>
      <c r="AI13" s="12">
        <f t="shared" si="6"/>
        <v>7664.4136354431275</v>
      </c>
      <c r="AJ13" s="12">
        <f t="shared" si="6"/>
        <v>7894.3460445064211</v>
      </c>
      <c r="AK13" s="12">
        <f t="shared" si="6"/>
        <v>8131.1764258416142</v>
      </c>
      <c r="AL13" s="12">
        <f t="shared" si="6"/>
        <v>8375.1117186168631</v>
      </c>
      <c r="AM13" s="12">
        <f t="shared" si="6"/>
        <v>8626.3650701753686</v>
      </c>
      <c r="AN13" s="12">
        <f t="shared" si="6"/>
        <v>8885.1560222806311</v>
      </c>
      <c r="AO13" s="12">
        <f t="shared" si="6"/>
        <v>9151.7107029490508</v>
      </c>
      <c r="AP13" s="12">
        <f t="shared" si="6"/>
        <v>9426.2620240375218</v>
      </c>
      <c r="AQ13" s="12">
        <f t="shared" si="6"/>
        <v>9709.0498847586477</v>
      </c>
      <c r="AR13" s="12">
        <f t="shared" si="6"/>
        <v>10000.321381301408</v>
      </c>
      <c r="AS13" s="12">
        <f t="shared" si="6"/>
        <v>10300.331022740451</v>
      </c>
      <c r="AT13" s="12">
        <f t="shared" si="6"/>
        <v>10609.340953422665</v>
      </c>
      <c r="AU13" s="12">
        <f t="shared" si="6"/>
        <v>10927.621182025345</v>
      </c>
      <c r="AV13" s="12">
        <f t="shared" si="6"/>
        <v>11255.449817486106</v>
      </c>
      <c r="AW13" s="12">
        <f t="shared" si="6"/>
        <v>11593.113312010688</v>
      </c>
      <c r="AX13" s="12">
        <f t="shared" si="6"/>
        <v>11940.90671137101</v>
      </c>
      <c r="AY13" s="12">
        <f t="shared" si="6"/>
        <v>12299.133912712141</v>
      </c>
    </row>
    <row r="14" spans="1:51" x14ac:dyDescent="0.2">
      <c r="B14" s="2" t="s">
        <v>19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M6*M35</f>
        <v>10000</v>
      </c>
      <c r="N14" s="12">
        <f t="shared" ref="N14:AY14" si="7">N6*N35</f>
        <v>10300</v>
      </c>
      <c r="O14" s="12">
        <f t="shared" si="7"/>
        <v>10609</v>
      </c>
      <c r="P14" s="12">
        <f t="shared" si="7"/>
        <v>10927.27</v>
      </c>
      <c r="Q14" s="12">
        <f t="shared" si="7"/>
        <v>11255.088100000001</v>
      </c>
      <c r="R14" s="12">
        <f t="shared" si="7"/>
        <v>11592.740743</v>
      </c>
      <c r="S14" s="12">
        <f t="shared" si="7"/>
        <v>11940.522965290002</v>
      </c>
      <c r="T14" s="12">
        <f t="shared" si="7"/>
        <v>12298.7386542487</v>
      </c>
      <c r="U14" s="12">
        <f t="shared" si="7"/>
        <v>12667.700813876161</v>
      </c>
      <c r="V14" s="12">
        <f t="shared" si="7"/>
        <v>13047.731838292448</v>
      </c>
      <c r="W14" s="12">
        <f t="shared" si="7"/>
        <v>13439.163793441221</v>
      </c>
      <c r="X14" s="12">
        <f t="shared" si="7"/>
        <v>13842.338707244458</v>
      </c>
      <c r="Y14" s="12">
        <f t="shared" si="7"/>
        <v>14257.608868461793</v>
      </c>
      <c r="Z14" s="12">
        <f t="shared" si="7"/>
        <v>14685.337134515647</v>
      </c>
      <c r="AA14" s="12">
        <f t="shared" si="7"/>
        <v>15125.897248551117</v>
      </c>
      <c r="AB14" s="12">
        <f t="shared" si="7"/>
        <v>15579.67416600765</v>
      </c>
      <c r="AC14" s="12">
        <f t="shared" si="7"/>
        <v>16047.06439098788</v>
      </c>
      <c r="AD14" s="12">
        <f t="shared" si="7"/>
        <v>16528.476322717517</v>
      </c>
      <c r="AE14" s="12">
        <f t="shared" si="7"/>
        <v>17024.330612399044</v>
      </c>
      <c r="AF14" s="12">
        <f t="shared" si="7"/>
        <v>17535.060530771014</v>
      </c>
      <c r="AG14" s="12">
        <f t="shared" si="7"/>
        <v>18061.112346694146</v>
      </c>
      <c r="AH14" s="12">
        <f t="shared" si="7"/>
        <v>18602.945717094972</v>
      </c>
      <c r="AI14" s="12">
        <f t="shared" si="7"/>
        <v>19161.034088607819</v>
      </c>
      <c r="AJ14" s="12">
        <f t="shared" si="7"/>
        <v>19735.865111266055</v>
      </c>
      <c r="AK14" s="12">
        <f t="shared" si="7"/>
        <v>20327.941064604034</v>
      </c>
      <c r="AL14" s="12">
        <f t="shared" si="7"/>
        <v>20937.779296542158</v>
      </c>
      <c r="AM14" s="12">
        <f t="shared" si="7"/>
        <v>21565.912675438423</v>
      </c>
      <c r="AN14" s="12">
        <f t="shared" si="7"/>
        <v>22212.890055701577</v>
      </c>
      <c r="AO14" s="12">
        <f t="shared" si="7"/>
        <v>22879.276757372627</v>
      </c>
      <c r="AP14" s="12">
        <f t="shared" si="7"/>
        <v>23565.655060093806</v>
      </c>
      <c r="AQ14" s="12">
        <f t="shared" si="7"/>
        <v>24272.62471189662</v>
      </c>
      <c r="AR14" s="12">
        <f t="shared" si="7"/>
        <v>25000.80345325352</v>
      </c>
      <c r="AS14" s="12">
        <f t="shared" si="7"/>
        <v>25750.827556851127</v>
      </c>
      <c r="AT14" s="12">
        <f t="shared" si="7"/>
        <v>26523.352383556659</v>
      </c>
      <c r="AU14" s="12">
        <f t="shared" si="7"/>
        <v>27319.052955063366</v>
      </c>
      <c r="AV14" s="12">
        <f t="shared" si="7"/>
        <v>28138.624543715265</v>
      </c>
      <c r="AW14" s="12">
        <f t="shared" si="7"/>
        <v>28982.783280026721</v>
      </c>
      <c r="AX14" s="12">
        <f t="shared" si="7"/>
        <v>29852.266778427525</v>
      </c>
      <c r="AY14" s="12">
        <f t="shared" si="7"/>
        <v>30747.834781780351</v>
      </c>
    </row>
    <row r="15" spans="1:51" x14ac:dyDescent="0.2">
      <c r="B15" s="2" t="s">
        <v>20</v>
      </c>
      <c r="H15" s="10">
        <f>100*12</f>
        <v>1200</v>
      </c>
      <c r="I15" s="10">
        <f t="shared" ref="I15:L15" si="8">100*12</f>
        <v>1200</v>
      </c>
      <c r="J15" s="10">
        <f t="shared" si="8"/>
        <v>1200</v>
      </c>
      <c r="K15" s="10">
        <f t="shared" si="8"/>
        <v>1200</v>
      </c>
      <c r="L15" s="24">
        <f t="shared" si="8"/>
        <v>1200</v>
      </c>
      <c r="M15" s="12">
        <v>1200</v>
      </c>
      <c r="N15" s="12">
        <f>M15</f>
        <v>1200</v>
      </c>
      <c r="O15" s="12">
        <f t="shared" ref="O15:AY15" si="9">N15</f>
        <v>1200</v>
      </c>
      <c r="P15" s="12">
        <f t="shared" si="9"/>
        <v>1200</v>
      </c>
      <c r="Q15" s="12">
        <f t="shared" si="9"/>
        <v>1200</v>
      </c>
      <c r="R15" s="12">
        <f t="shared" si="9"/>
        <v>1200</v>
      </c>
      <c r="S15" s="12">
        <f t="shared" si="9"/>
        <v>1200</v>
      </c>
      <c r="T15" s="12">
        <f t="shared" si="9"/>
        <v>1200</v>
      </c>
      <c r="U15" s="12">
        <f t="shared" si="9"/>
        <v>1200</v>
      </c>
      <c r="V15" s="12">
        <f t="shared" si="9"/>
        <v>1200</v>
      </c>
      <c r="W15" s="12">
        <f t="shared" si="9"/>
        <v>1200</v>
      </c>
      <c r="X15" s="12">
        <f t="shared" si="9"/>
        <v>1200</v>
      </c>
      <c r="Y15" s="12">
        <f t="shared" si="9"/>
        <v>1200</v>
      </c>
      <c r="Z15" s="12">
        <f t="shared" si="9"/>
        <v>1200</v>
      </c>
      <c r="AA15" s="12">
        <f t="shared" si="9"/>
        <v>1200</v>
      </c>
      <c r="AB15" s="12">
        <f t="shared" si="9"/>
        <v>1200</v>
      </c>
      <c r="AC15" s="12">
        <f t="shared" si="9"/>
        <v>1200</v>
      </c>
      <c r="AD15" s="12">
        <f t="shared" si="9"/>
        <v>1200</v>
      </c>
      <c r="AE15" s="12">
        <f t="shared" si="9"/>
        <v>1200</v>
      </c>
      <c r="AF15" s="12">
        <f t="shared" si="9"/>
        <v>1200</v>
      </c>
      <c r="AG15" s="12">
        <f t="shared" si="9"/>
        <v>1200</v>
      </c>
      <c r="AH15" s="12">
        <f t="shared" si="9"/>
        <v>1200</v>
      </c>
      <c r="AI15" s="12">
        <f t="shared" si="9"/>
        <v>1200</v>
      </c>
      <c r="AJ15" s="12">
        <f t="shared" si="9"/>
        <v>1200</v>
      </c>
      <c r="AK15" s="12">
        <f t="shared" si="9"/>
        <v>1200</v>
      </c>
      <c r="AL15" s="12">
        <f t="shared" si="9"/>
        <v>1200</v>
      </c>
      <c r="AM15" s="12">
        <f t="shared" si="9"/>
        <v>1200</v>
      </c>
      <c r="AN15" s="12">
        <f t="shared" si="9"/>
        <v>1200</v>
      </c>
      <c r="AO15" s="12">
        <f t="shared" si="9"/>
        <v>1200</v>
      </c>
      <c r="AP15" s="12">
        <f t="shared" si="9"/>
        <v>1200</v>
      </c>
      <c r="AQ15" s="12">
        <f t="shared" si="9"/>
        <v>1200</v>
      </c>
      <c r="AR15" s="12">
        <f t="shared" si="9"/>
        <v>1200</v>
      </c>
      <c r="AS15" s="12">
        <f t="shared" si="9"/>
        <v>1200</v>
      </c>
      <c r="AT15" s="12">
        <f t="shared" si="9"/>
        <v>1200</v>
      </c>
      <c r="AU15" s="12">
        <f t="shared" si="9"/>
        <v>1200</v>
      </c>
      <c r="AV15" s="12">
        <f t="shared" si="9"/>
        <v>1200</v>
      </c>
      <c r="AW15" s="12">
        <f t="shared" si="9"/>
        <v>1200</v>
      </c>
      <c r="AX15" s="12">
        <f t="shared" si="9"/>
        <v>1200</v>
      </c>
      <c r="AY15" s="12">
        <f t="shared" si="9"/>
        <v>1200</v>
      </c>
    </row>
    <row r="16" spans="1:51" x14ac:dyDescent="0.2">
      <c r="B16" s="2" t="s">
        <v>8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5000</v>
      </c>
      <c r="N16" s="12">
        <f t="shared" ref="N16:AY16" si="10">N37*N6</f>
        <v>5150</v>
      </c>
      <c r="O16" s="12">
        <f t="shared" si="10"/>
        <v>5304.5</v>
      </c>
      <c r="P16" s="12">
        <f t="shared" si="10"/>
        <v>5463.6350000000002</v>
      </c>
      <c r="Q16" s="12">
        <f t="shared" si="10"/>
        <v>5627.5440500000004</v>
      </c>
      <c r="R16" s="12">
        <f t="shared" si="10"/>
        <v>5796.3703715000001</v>
      </c>
      <c r="S16" s="12">
        <f t="shared" si="10"/>
        <v>5970.2614826450008</v>
      </c>
      <c r="T16" s="12">
        <f t="shared" si="10"/>
        <v>6149.3693271243501</v>
      </c>
      <c r="U16" s="12">
        <f t="shared" si="10"/>
        <v>6333.8504069380806</v>
      </c>
      <c r="V16" s="12">
        <f t="shared" si="10"/>
        <v>6523.8659191462239</v>
      </c>
      <c r="W16" s="12">
        <f t="shared" si="10"/>
        <v>6719.5818967206105</v>
      </c>
      <c r="X16" s="12">
        <f t="shared" si="10"/>
        <v>6921.1693536222292</v>
      </c>
      <c r="Y16" s="12">
        <f t="shared" si="10"/>
        <v>7128.8044342308967</v>
      </c>
      <c r="Z16" s="12">
        <f t="shared" si="10"/>
        <v>7342.6685672578233</v>
      </c>
      <c r="AA16" s="12">
        <f t="shared" si="10"/>
        <v>7562.9486242755584</v>
      </c>
      <c r="AB16" s="12">
        <f t="shared" si="10"/>
        <v>7789.8370830038248</v>
      </c>
      <c r="AC16" s="12">
        <f t="shared" si="10"/>
        <v>8023.53219549394</v>
      </c>
      <c r="AD16" s="12">
        <f t="shared" si="10"/>
        <v>8264.2381613587586</v>
      </c>
      <c r="AE16" s="12">
        <f t="shared" si="10"/>
        <v>8512.1653061995221</v>
      </c>
      <c r="AF16" s="12">
        <f t="shared" si="10"/>
        <v>8767.5302653855069</v>
      </c>
      <c r="AG16" s="12">
        <f t="shared" si="10"/>
        <v>9030.5561733470731</v>
      </c>
      <c r="AH16" s="12">
        <f t="shared" si="10"/>
        <v>9301.4728585474859</v>
      </c>
      <c r="AI16" s="12">
        <f t="shared" si="10"/>
        <v>9580.5170443039096</v>
      </c>
      <c r="AJ16" s="12">
        <f t="shared" si="10"/>
        <v>9867.9325556330277</v>
      </c>
      <c r="AK16" s="12">
        <f t="shared" si="10"/>
        <v>10163.970532302017</v>
      </c>
      <c r="AL16" s="12">
        <f t="shared" si="10"/>
        <v>10468.889648271079</v>
      </c>
      <c r="AM16" s="12">
        <f t="shared" si="10"/>
        <v>10782.956337719212</v>
      </c>
      <c r="AN16" s="12">
        <f t="shared" si="10"/>
        <v>11106.445027850788</v>
      </c>
      <c r="AO16" s="12">
        <f t="shared" si="10"/>
        <v>11439.638378686313</v>
      </c>
      <c r="AP16" s="12">
        <f t="shared" si="10"/>
        <v>11782.827530046903</v>
      </c>
      <c r="AQ16" s="12">
        <f t="shared" si="10"/>
        <v>12136.31235594831</v>
      </c>
      <c r="AR16" s="12">
        <f t="shared" si="10"/>
        <v>12500.40172662676</v>
      </c>
      <c r="AS16" s="12">
        <f t="shared" si="10"/>
        <v>12875.413778425564</v>
      </c>
      <c r="AT16" s="12">
        <f t="shared" si="10"/>
        <v>13261.67619177833</v>
      </c>
      <c r="AU16" s="12">
        <f t="shared" si="10"/>
        <v>13659.526477531683</v>
      </c>
      <c r="AV16" s="12">
        <f t="shared" si="10"/>
        <v>14069.312271857632</v>
      </c>
      <c r="AW16" s="12">
        <f t="shared" si="10"/>
        <v>14491.39164001336</v>
      </c>
      <c r="AX16" s="12">
        <f t="shared" si="10"/>
        <v>14926.133389213763</v>
      </c>
      <c r="AY16" s="12">
        <f t="shared" si="10"/>
        <v>15373.917390890176</v>
      </c>
    </row>
    <row r="17" spans="2:51" x14ac:dyDescent="0.2">
      <c r="H17" s="9"/>
      <c r="I17" s="9"/>
      <c r="J17" s="9"/>
      <c r="K17" s="9"/>
      <c r="L17" s="23"/>
      <c r="M17" s="32"/>
      <c r="N17" s="32"/>
      <c r="O17" s="32"/>
      <c r="P17" s="32"/>
    </row>
    <row r="18" spans="2:51" x14ac:dyDescent="0.2">
      <c r="B18" s="3"/>
      <c r="C18" s="3" t="s">
        <v>12</v>
      </c>
      <c r="H18" s="13">
        <f>SUM(H11:H16)</f>
        <v>33550</v>
      </c>
      <c r="I18" s="13">
        <f t="shared" ref="I18:AY18" si="11">SUM(I11:I16)</f>
        <v>35700</v>
      </c>
      <c r="J18" s="13">
        <f t="shared" si="11"/>
        <v>37850</v>
      </c>
      <c r="K18" s="13">
        <f t="shared" si="11"/>
        <v>40000</v>
      </c>
      <c r="L18" s="13">
        <f t="shared" si="11"/>
        <v>42150</v>
      </c>
      <c r="M18" s="13">
        <f t="shared" si="11"/>
        <v>41800</v>
      </c>
      <c r="N18" s="13">
        <f t="shared" si="11"/>
        <v>42370</v>
      </c>
      <c r="O18" s="13">
        <f t="shared" si="11"/>
        <v>42957.1</v>
      </c>
      <c r="P18" s="13">
        <f t="shared" si="11"/>
        <v>43561.813000000002</v>
      </c>
      <c r="Q18" s="13">
        <f t="shared" si="11"/>
        <v>44184.667390000002</v>
      </c>
      <c r="R18" s="13">
        <f t="shared" si="11"/>
        <v>41226.207411700001</v>
      </c>
      <c r="S18" s="13">
        <f t="shared" si="11"/>
        <v>41886.993634051003</v>
      </c>
      <c r="T18" s="13">
        <f t="shared" si="11"/>
        <v>42567.603443072527</v>
      </c>
      <c r="U18" s="13">
        <f t="shared" si="11"/>
        <v>43268.631546364704</v>
      </c>
      <c r="V18" s="13">
        <f t="shared" si="11"/>
        <v>43990.690492755646</v>
      </c>
      <c r="W18" s="13">
        <f t="shared" si="11"/>
        <v>44734.411207538316</v>
      </c>
      <c r="X18" s="13">
        <f t="shared" si="11"/>
        <v>45500.443543764472</v>
      </c>
      <c r="Y18" s="13">
        <f t="shared" si="11"/>
        <v>46289.456850077404</v>
      </c>
      <c r="Z18" s="13">
        <f t="shared" si="11"/>
        <v>47102.140555579732</v>
      </c>
      <c r="AA18" s="13">
        <f t="shared" si="11"/>
        <v>47939.204772247125</v>
      </c>
      <c r="AB18" s="13">
        <f t="shared" si="11"/>
        <v>48801.380915414535</v>
      </c>
      <c r="AC18" s="13">
        <f t="shared" si="11"/>
        <v>49689.422342876976</v>
      </c>
      <c r="AD18" s="13">
        <f t="shared" si="11"/>
        <v>50604.10501316328</v>
      </c>
      <c r="AE18" s="13">
        <f t="shared" si="11"/>
        <v>51546.228163558182</v>
      </c>
      <c r="AF18" s="13">
        <f t="shared" si="11"/>
        <v>52516.615008464927</v>
      </c>
      <c r="AG18" s="13">
        <f t="shared" si="11"/>
        <v>53516.113458718879</v>
      </c>
      <c r="AH18" s="13">
        <f t="shared" si="11"/>
        <v>54545.596862480445</v>
      </c>
      <c r="AI18" s="13">
        <f t="shared" si="11"/>
        <v>55605.964768354854</v>
      </c>
      <c r="AJ18" s="13">
        <f t="shared" si="11"/>
        <v>56698.143711405501</v>
      </c>
      <c r="AK18" s="13">
        <f t="shared" si="11"/>
        <v>57823.088022747666</v>
      </c>
      <c r="AL18" s="13">
        <f t="shared" si="11"/>
        <v>40981.780663430101</v>
      </c>
      <c r="AM18" s="13">
        <f t="shared" si="11"/>
        <v>42175.234083333002</v>
      </c>
      <c r="AN18" s="13">
        <f t="shared" si="11"/>
        <v>43404.491105832996</v>
      </c>
      <c r="AO18" s="13">
        <f t="shared" si="11"/>
        <v>44670.625839007989</v>
      </c>
      <c r="AP18" s="13">
        <f t="shared" si="11"/>
        <v>45974.744614178235</v>
      </c>
      <c r="AQ18" s="13">
        <f t="shared" si="11"/>
        <v>47317.986952603576</v>
      </c>
      <c r="AR18" s="13">
        <f t="shared" si="11"/>
        <v>48701.526561181687</v>
      </c>
      <c r="AS18" s="13">
        <f t="shared" si="11"/>
        <v>50126.57235801714</v>
      </c>
      <c r="AT18" s="13">
        <f t="shared" si="11"/>
        <v>51594.369528757656</v>
      </c>
      <c r="AU18" s="13">
        <f t="shared" si="11"/>
        <v>53106.200614620393</v>
      </c>
      <c r="AV18" s="13">
        <f t="shared" si="11"/>
        <v>54663.386633059003</v>
      </c>
      <c r="AW18" s="13">
        <f t="shared" si="11"/>
        <v>56267.288232050771</v>
      </c>
      <c r="AX18" s="13">
        <f t="shared" si="11"/>
        <v>57919.3068790123</v>
      </c>
      <c r="AY18" s="13">
        <f t="shared" si="11"/>
        <v>59620.886085382663</v>
      </c>
    </row>
    <row r="19" spans="2:51" x14ac:dyDescent="0.2">
      <c r="H19" s="12"/>
      <c r="I19" s="12"/>
      <c r="J19" s="12"/>
      <c r="K19" s="12"/>
      <c r="L19" s="25"/>
      <c r="M19" s="12"/>
      <c r="N19" s="12"/>
      <c r="O19" s="12"/>
      <c r="P19" s="12"/>
    </row>
    <row r="20" spans="2:51" x14ac:dyDescent="0.2">
      <c r="B20" s="1" t="s">
        <v>13</v>
      </c>
      <c r="C20" s="1"/>
      <c r="D20" s="1"/>
      <c r="E20" s="1"/>
      <c r="F20" s="1"/>
      <c r="G20" s="1"/>
      <c r="H20" s="13">
        <f>H8-H18</f>
        <v>16450</v>
      </c>
      <c r="I20" s="13">
        <f t="shared" ref="I20:AY20" si="12">I8-I18</f>
        <v>24300</v>
      </c>
      <c r="J20" s="13">
        <f t="shared" si="12"/>
        <v>32150</v>
      </c>
      <c r="K20" s="13">
        <f t="shared" si="12"/>
        <v>40000</v>
      </c>
      <c r="L20" s="13">
        <f t="shared" si="12"/>
        <v>47850</v>
      </c>
      <c r="M20" s="13">
        <f t="shared" si="12"/>
        <v>58200</v>
      </c>
      <c r="N20" s="13">
        <f t="shared" si="12"/>
        <v>60630</v>
      </c>
      <c r="O20" s="13">
        <f t="shared" si="12"/>
        <v>63132.9</v>
      </c>
      <c r="P20" s="13">
        <f t="shared" si="12"/>
        <v>65710.886999999988</v>
      </c>
      <c r="Q20" s="13">
        <f t="shared" si="12"/>
        <v>68366.213609999992</v>
      </c>
      <c r="R20" s="13">
        <f t="shared" si="12"/>
        <v>74701.200018299991</v>
      </c>
      <c r="S20" s="13">
        <f t="shared" si="12"/>
        <v>77518.236018848998</v>
      </c>
      <c r="T20" s="13">
        <f t="shared" si="12"/>
        <v>80419.783099414475</v>
      </c>
      <c r="U20" s="13">
        <f t="shared" si="12"/>
        <v>83408.376592396904</v>
      </c>
      <c r="V20" s="13">
        <f t="shared" si="12"/>
        <v>86486.62789016882</v>
      </c>
      <c r="W20" s="13">
        <f t="shared" si="12"/>
        <v>89657.22672687388</v>
      </c>
      <c r="X20" s="13">
        <f t="shared" si="12"/>
        <v>92922.943528680102</v>
      </c>
      <c r="Y20" s="13">
        <f t="shared" si="12"/>
        <v>96286.631834540516</v>
      </c>
      <c r="Z20" s="13">
        <f t="shared" si="12"/>
        <v>99751.230789576715</v>
      </c>
      <c r="AA20" s="13">
        <f t="shared" si="12"/>
        <v>103319.76771326404</v>
      </c>
      <c r="AB20" s="13">
        <f t="shared" si="12"/>
        <v>106995.36074466194</v>
      </c>
      <c r="AC20" s="13">
        <f t="shared" si="12"/>
        <v>110781.22156700182</v>
      </c>
      <c r="AD20" s="13">
        <f t="shared" si="12"/>
        <v>114680.65821401188</v>
      </c>
      <c r="AE20" s="13">
        <f t="shared" si="12"/>
        <v>118697.07796043225</v>
      </c>
      <c r="AF20" s="13">
        <f t="shared" si="12"/>
        <v>122833.9902992452</v>
      </c>
      <c r="AG20" s="13">
        <f t="shared" si="12"/>
        <v>127095.01000822257</v>
      </c>
      <c r="AH20" s="13">
        <f t="shared" si="12"/>
        <v>131483.86030846924</v>
      </c>
      <c r="AI20" s="13">
        <f t="shared" si="12"/>
        <v>136004.37611772335</v>
      </c>
      <c r="AJ20" s="13">
        <f t="shared" si="12"/>
        <v>140660.50740125502</v>
      </c>
      <c r="AK20" s="13">
        <f t="shared" si="12"/>
        <v>145456.32262329268</v>
      </c>
      <c r="AL20" s="13">
        <f t="shared" si="12"/>
        <v>168396.01230199146</v>
      </c>
      <c r="AM20" s="13">
        <f t="shared" si="12"/>
        <v>173483.89267105123</v>
      </c>
      <c r="AN20" s="13">
        <f t="shared" si="12"/>
        <v>178724.40945118276</v>
      </c>
      <c r="AO20" s="13">
        <f t="shared" si="12"/>
        <v>184122.14173471826</v>
      </c>
      <c r="AP20" s="13">
        <f t="shared" si="12"/>
        <v>189681.80598675981</v>
      </c>
      <c r="AQ20" s="13">
        <f t="shared" si="12"/>
        <v>195408.26016636263</v>
      </c>
      <c r="AR20" s="13">
        <f t="shared" si="12"/>
        <v>201306.50797135348</v>
      </c>
      <c r="AS20" s="13">
        <f t="shared" si="12"/>
        <v>207381.7032104941</v>
      </c>
      <c r="AT20" s="13">
        <f t="shared" si="12"/>
        <v>213639.15430680895</v>
      </c>
      <c r="AU20" s="13">
        <f t="shared" si="12"/>
        <v>220084.32893601322</v>
      </c>
      <c r="AV20" s="13">
        <f t="shared" si="12"/>
        <v>226722.85880409362</v>
      </c>
      <c r="AW20" s="13">
        <f t="shared" si="12"/>
        <v>233560.54456821643</v>
      </c>
      <c r="AX20" s="13">
        <f t="shared" si="12"/>
        <v>240603.36090526296</v>
      </c>
      <c r="AY20" s="13">
        <f t="shared" si="12"/>
        <v>247857.46173242084</v>
      </c>
    </row>
    <row r="21" spans="2:51" x14ac:dyDescent="0.2">
      <c r="H21" s="12"/>
      <c r="I21" s="12"/>
      <c r="J21" s="12"/>
      <c r="K21" s="12"/>
      <c r="L21" s="25"/>
      <c r="M21" s="12"/>
      <c r="N21" s="12"/>
      <c r="O21" s="12"/>
      <c r="P21" s="12"/>
    </row>
    <row r="22" spans="2:51" x14ac:dyDescent="0.2">
      <c r="B22" s="2" t="s">
        <v>0</v>
      </c>
      <c r="H22" s="10">
        <f>28%*H6</f>
        <v>14000.000000000002</v>
      </c>
      <c r="I22" s="10">
        <f t="shared" ref="I22:L22" si="13">28%*I6</f>
        <v>16800</v>
      </c>
      <c r="J22" s="10">
        <f t="shared" si="13"/>
        <v>19600.000000000004</v>
      </c>
      <c r="K22" s="10">
        <f t="shared" si="13"/>
        <v>22400.000000000004</v>
      </c>
      <c r="L22" s="24">
        <f t="shared" si="13"/>
        <v>25200.000000000004</v>
      </c>
      <c r="M22" s="12">
        <f>M38*M6</f>
        <v>28000.000000000004</v>
      </c>
      <c r="N22" s="12">
        <f t="shared" ref="N22:AY22" si="14">N38*N6</f>
        <v>28840.000000000004</v>
      </c>
      <c r="O22" s="12">
        <f t="shared" si="14"/>
        <v>29705.200000000004</v>
      </c>
      <c r="P22" s="12">
        <f t="shared" si="14"/>
        <v>30596.356000000003</v>
      </c>
      <c r="Q22" s="12">
        <f t="shared" si="14"/>
        <v>31514.24668</v>
      </c>
      <c r="R22" s="12">
        <f t="shared" si="14"/>
        <v>32459.6740804</v>
      </c>
      <c r="S22" s="12">
        <f t="shared" si="14"/>
        <v>33433.464302812004</v>
      </c>
      <c r="T22" s="12">
        <f t="shared" si="14"/>
        <v>34436.468231896361</v>
      </c>
      <c r="U22" s="12">
        <f t="shared" si="14"/>
        <v>35469.562278853256</v>
      </c>
      <c r="V22" s="12">
        <f t="shared" si="14"/>
        <v>36533.649147218857</v>
      </c>
      <c r="W22" s="12">
        <f t="shared" si="14"/>
        <v>37629.658621635419</v>
      </c>
      <c r="X22" s="12">
        <f t="shared" si="14"/>
        <v>38758.548380284483</v>
      </c>
      <c r="Y22" s="12">
        <f t="shared" si="14"/>
        <v>39921.304831693022</v>
      </c>
      <c r="Z22" s="12">
        <f t="shared" si="14"/>
        <v>41118.943976643808</v>
      </c>
      <c r="AA22" s="12">
        <f t="shared" si="14"/>
        <v>42352.512295943125</v>
      </c>
      <c r="AB22" s="12">
        <f t="shared" si="14"/>
        <v>43623.087664821418</v>
      </c>
      <c r="AC22" s="12">
        <f t="shared" si="14"/>
        <v>44931.780294766068</v>
      </c>
      <c r="AD22" s="12">
        <f t="shared" si="14"/>
        <v>46279.733703609054</v>
      </c>
      <c r="AE22" s="12">
        <f t="shared" si="14"/>
        <v>47668.125714717324</v>
      </c>
      <c r="AF22" s="12">
        <f t="shared" si="14"/>
        <v>49098.16948615884</v>
      </c>
      <c r="AG22" s="12">
        <f t="shared" si="14"/>
        <v>50571.114570743608</v>
      </c>
      <c r="AH22" s="12">
        <f t="shared" si="14"/>
        <v>52088.248007865921</v>
      </c>
      <c r="AI22" s="12">
        <f t="shared" si="14"/>
        <v>53650.895448101903</v>
      </c>
      <c r="AJ22" s="12">
        <f t="shared" si="14"/>
        <v>55260.422311544957</v>
      </c>
      <c r="AK22" s="12">
        <f t="shared" si="14"/>
        <v>56918.234980891299</v>
      </c>
      <c r="AL22" s="12">
        <f t="shared" si="14"/>
        <v>58625.782030318042</v>
      </c>
      <c r="AM22" s="12">
        <f t="shared" si="14"/>
        <v>60384.555491227591</v>
      </c>
      <c r="AN22" s="12">
        <f t="shared" si="14"/>
        <v>62196.092155964419</v>
      </c>
      <c r="AO22" s="12">
        <f t="shared" si="14"/>
        <v>64061.974920643355</v>
      </c>
      <c r="AP22" s="12">
        <f t="shared" si="14"/>
        <v>65983.834168262649</v>
      </c>
      <c r="AQ22" s="12">
        <f t="shared" si="14"/>
        <v>67963.34919331054</v>
      </c>
      <c r="AR22" s="12">
        <f t="shared" si="14"/>
        <v>70002.249669109864</v>
      </c>
      <c r="AS22" s="12">
        <f t="shared" si="14"/>
        <v>72102.317159183163</v>
      </c>
      <c r="AT22" s="12">
        <f t="shared" si="14"/>
        <v>74265.386673958652</v>
      </c>
      <c r="AU22" s="12">
        <f t="shared" si="14"/>
        <v>76493.348274177421</v>
      </c>
      <c r="AV22" s="12">
        <f t="shared" si="14"/>
        <v>78788.148722402737</v>
      </c>
      <c r="AW22" s="12">
        <f t="shared" si="14"/>
        <v>81151.793184074821</v>
      </c>
      <c r="AX22" s="12">
        <f t="shared" si="14"/>
        <v>83586.346979597074</v>
      </c>
      <c r="AY22" s="12">
        <f t="shared" si="14"/>
        <v>86093.937388984981</v>
      </c>
    </row>
    <row r="23" spans="2:51" x14ac:dyDescent="0.2">
      <c r="H23" s="43"/>
      <c r="I23" s="12"/>
      <c r="J23" s="12"/>
      <c r="K23" s="12"/>
      <c r="L23" s="25"/>
      <c r="M23" s="12"/>
      <c r="N23" s="12"/>
      <c r="O23" s="12"/>
      <c r="P23" s="12"/>
    </row>
    <row r="24" spans="2:51" x14ac:dyDescent="0.2">
      <c r="B24" s="1" t="s">
        <v>3</v>
      </c>
      <c r="C24" s="1"/>
      <c r="D24" s="1"/>
      <c r="E24" s="1"/>
      <c r="F24" s="1"/>
      <c r="G24" s="1"/>
      <c r="H24" s="36">
        <f>H20-H22</f>
        <v>2449.9999999999982</v>
      </c>
      <c r="I24" s="36">
        <f t="shared" ref="I24:AY24" si="15">I20-I22</f>
        <v>7500</v>
      </c>
      <c r="J24" s="36">
        <f t="shared" si="15"/>
        <v>12549.999999999996</v>
      </c>
      <c r="K24" s="36">
        <f t="shared" si="15"/>
        <v>17599.999999999996</v>
      </c>
      <c r="L24" s="36">
        <f t="shared" si="15"/>
        <v>22649.999999999996</v>
      </c>
      <c r="M24" s="36">
        <f t="shared" si="15"/>
        <v>30199.999999999996</v>
      </c>
      <c r="N24" s="36">
        <f t="shared" si="15"/>
        <v>31789.999999999996</v>
      </c>
      <c r="O24" s="36">
        <f t="shared" si="15"/>
        <v>33427.699999999997</v>
      </c>
      <c r="P24" s="36">
        <f t="shared" si="15"/>
        <v>35114.530999999988</v>
      </c>
      <c r="Q24" s="36">
        <f t="shared" si="15"/>
        <v>36851.966929999995</v>
      </c>
      <c r="R24" s="36">
        <f t="shared" si="15"/>
        <v>42241.525937899991</v>
      </c>
      <c r="S24" s="36">
        <f t="shared" si="15"/>
        <v>44084.771716036994</v>
      </c>
      <c r="T24" s="36">
        <f t="shared" si="15"/>
        <v>45983.314867518115</v>
      </c>
      <c r="U24" s="36">
        <f t="shared" si="15"/>
        <v>47938.814313543648</v>
      </c>
      <c r="V24" s="36">
        <f t="shared" si="15"/>
        <v>49952.978742949963</v>
      </c>
      <c r="W24" s="36">
        <f t="shared" si="15"/>
        <v>52027.568105238461</v>
      </c>
      <c r="X24" s="36">
        <f t="shared" si="15"/>
        <v>54164.395148395619</v>
      </c>
      <c r="Y24" s="36">
        <f t="shared" si="15"/>
        <v>56365.327002847494</v>
      </c>
      <c r="Z24" s="36">
        <f t="shared" si="15"/>
        <v>58632.286812932907</v>
      </c>
      <c r="AA24" s="36">
        <f t="shared" si="15"/>
        <v>60967.255417320914</v>
      </c>
      <c r="AB24" s="36">
        <f t="shared" si="15"/>
        <v>63372.273079840525</v>
      </c>
      <c r="AC24" s="36">
        <f t="shared" si="15"/>
        <v>65849.441272235752</v>
      </c>
      <c r="AD24" s="36">
        <f t="shared" si="15"/>
        <v>68400.924510402838</v>
      </c>
      <c r="AE24" s="36">
        <f t="shared" si="15"/>
        <v>71028.952245714929</v>
      </c>
      <c r="AF24" s="36">
        <f t="shared" si="15"/>
        <v>73735.82081308635</v>
      </c>
      <c r="AG24" s="36">
        <f t="shared" si="15"/>
        <v>76523.895437478961</v>
      </c>
      <c r="AH24" s="36">
        <f t="shared" si="15"/>
        <v>79395.61230060333</v>
      </c>
      <c r="AI24" s="36">
        <f t="shared" si="15"/>
        <v>82353.480669621451</v>
      </c>
      <c r="AJ24" s="36">
        <f t="shared" si="15"/>
        <v>85400.085089710061</v>
      </c>
      <c r="AK24" s="36">
        <f t="shared" si="15"/>
        <v>88538.087642401384</v>
      </c>
      <c r="AL24" s="36">
        <f t="shared" si="15"/>
        <v>109770.23027167341</v>
      </c>
      <c r="AM24" s="36">
        <f t="shared" si="15"/>
        <v>113099.33717982363</v>
      </c>
      <c r="AN24" s="36">
        <f t="shared" si="15"/>
        <v>116528.31729521834</v>
      </c>
      <c r="AO24" s="36">
        <f t="shared" si="15"/>
        <v>120060.16681407491</v>
      </c>
      <c r="AP24" s="36">
        <f t="shared" si="15"/>
        <v>123697.97181849716</v>
      </c>
      <c r="AQ24" s="36">
        <f t="shared" si="15"/>
        <v>127444.91097305209</v>
      </c>
      <c r="AR24" s="36">
        <f t="shared" si="15"/>
        <v>131304.2583022436</v>
      </c>
      <c r="AS24" s="36">
        <f t="shared" si="15"/>
        <v>135279.38605131092</v>
      </c>
      <c r="AT24" s="36">
        <f t="shared" si="15"/>
        <v>139373.7676328503</v>
      </c>
      <c r="AU24" s="36">
        <f t="shared" si="15"/>
        <v>143590.98066183581</v>
      </c>
      <c r="AV24" s="36">
        <f t="shared" si="15"/>
        <v>147934.71008169086</v>
      </c>
      <c r="AW24" s="36">
        <f t="shared" si="15"/>
        <v>152408.75138414162</v>
      </c>
      <c r="AX24" s="36">
        <f t="shared" si="15"/>
        <v>157017.01392566587</v>
      </c>
      <c r="AY24" s="36">
        <f t="shared" si="15"/>
        <v>161763.52434343586</v>
      </c>
    </row>
    <row r="25" spans="2:51" x14ac:dyDescent="0.2">
      <c r="L25" s="26"/>
    </row>
    <row r="26" spans="2:51" x14ac:dyDescent="0.2">
      <c r="B26" s="2" t="s">
        <v>30</v>
      </c>
      <c r="H26" s="10">
        <v>2449.9999999999982</v>
      </c>
      <c r="I26" s="10">
        <v>9974.4999999999982</v>
      </c>
      <c r="J26" s="10">
        <v>22624.244999999995</v>
      </c>
      <c r="K26" s="10">
        <v>40450.487449999993</v>
      </c>
      <c r="L26" s="24">
        <v>63504.992324499995</v>
      </c>
      <c r="M26" s="8">
        <f>L26*(1+M39)+M24</f>
        <v>94657.56720936748</v>
      </c>
      <c r="N26" s="8">
        <f t="shared" ref="N26:AY26" si="16">M26*(1+N39)+N24</f>
        <v>127867.43071750799</v>
      </c>
      <c r="O26" s="8">
        <f t="shared" si="16"/>
        <v>163213.14217827059</v>
      </c>
      <c r="P26" s="8">
        <f t="shared" si="16"/>
        <v>200775.87031094462</v>
      </c>
      <c r="Q26" s="8">
        <f t="shared" si="16"/>
        <v>240639.47529560878</v>
      </c>
      <c r="R26" s="8">
        <f t="shared" si="16"/>
        <v>286490.59336294286</v>
      </c>
      <c r="S26" s="8">
        <f t="shared" si="16"/>
        <v>334872.72397942399</v>
      </c>
      <c r="T26" s="8">
        <f t="shared" si="16"/>
        <v>385879.12970663339</v>
      </c>
      <c r="U26" s="8">
        <f t="shared" si="16"/>
        <v>439606.13096577651</v>
      </c>
      <c r="V26" s="8">
        <f t="shared" si="16"/>
        <v>496153.20167321304</v>
      </c>
      <c r="W26" s="8">
        <f t="shared" si="16"/>
        <v>555623.0678035497</v>
      </c>
      <c r="X26" s="8">
        <f t="shared" si="16"/>
        <v>618121.80896899849</v>
      </c>
      <c r="Y26" s="8">
        <f t="shared" si="16"/>
        <v>683758.96310638089</v>
      </c>
      <c r="Z26" s="8">
        <f t="shared" si="16"/>
        <v>752647.6343659095</v>
      </c>
      <c r="AA26" s="8">
        <f t="shared" si="16"/>
        <v>824904.60429871897</v>
      </c>
      <c r="AB26" s="8">
        <f t="shared" si="16"/>
        <v>900650.44644304016</v>
      </c>
      <c r="AC26" s="8">
        <f t="shared" si="16"/>
        <v>980009.64441192138</v>
      </c>
      <c r="AD26" s="8">
        <f t="shared" si="16"/>
        <v>1063110.713588503</v>
      </c>
      <c r="AE26" s="8">
        <f t="shared" si="16"/>
        <v>1150086.3265380452</v>
      </c>
      <c r="AF26" s="8">
        <f t="shared" si="16"/>
        <v>1241073.4422492022</v>
      </c>
      <c r="AG26" s="8">
        <f t="shared" si="16"/>
        <v>1336213.439320419</v>
      </c>
      <c r="AH26" s="8">
        <f t="shared" si="16"/>
        <v>1435652.2532108286</v>
      </c>
      <c r="AI26" s="8">
        <f t="shared" si="16"/>
        <v>1539540.5176786124</v>
      </c>
      <c r="AJ26" s="8">
        <f t="shared" si="16"/>
        <v>1648033.7105335016</v>
      </c>
      <c r="AK26" s="8">
        <f t="shared" si="16"/>
        <v>1761292.3038339054</v>
      </c>
      <c r="AL26" s="8">
        <f t="shared" si="16"/>
        <v>1897481.9186630873</v>
      </c>
      <c r="AM26" s="8">
        <f t="shared" si="16"/>
        <v>2039043.4846228571</v>
      </c>
      <c r="AN26" s="8">
        <f t="shared" si="16"/>
        <v>2186157.4541874179</v>
      </c>
      <c r="AO26" s="8">
        <f t="shared" si="16"/>
        <v>2339009.9828143036</v>
      </c>
      <c r="AP26" s="8">
        <f t="shared" si="16"/>
        <v>2497793.104375015</v>
      </c>
      <c r="AQ26" s="8">
        <f t="shared" si="16"/>
        <v>2662704.911913692</v>
      </c>
      <c r="AR26" s="8">
        <f t="shared" si="16"/>
        <v>2833949.7438946404</v>
      </c>
      <c r="AS26" s="8">
        <f t="shared" si="16"/>
        <v>3011738.3761043707</v>
      </c>
      <c r="AT26" s="8">
        <f t="shared" si="16"/>
        <v>3196288.2193787866</v>
      </c>
      <c r="AU26" s="8">
        <f t="shared" si="16"/>
        <v>3387823.5233313041</v>
      </c>
      <c r="AV26" s="8">
        <f t="shared" si="16"/>
        <v>3586575.5862629642</v>
      </c>
      <c r="AW26" s="8">
        <f t="shared" si="16"/>
        <v>3792782.9714410501</v>
      </c>
      <c r="AX26" s="8">
        <f t="shared" si="16"/>
        <v>4006691.7299383315</v>
      </c>
      <c r="AY26" s="45">
        <f t="shared" si="16"/>
        <v>4228555.6302308422</v>
      </c>
    </row>
    <row r="27" spans="2:51" x14ac:dyDescent="0.2">
      <c r="I27" s="44"/>
      <c r="L27" s="21"/>
    </row>
    <row r="28" spans="2:51" x14ac:dyDescent="0.2">
      <c r="L28" s="21"/>
    </row>
    <row r="29" spans="2:51" x14ac:dyDescent="0.2">
      <c r="B29" s="5" t="s">
        <v>14</v>
      </c>
      <c r="L29" s="21"/>
    </row>
    <row r="30" spans="2:51" x14ac:dyDescent="0.2">
      <c r="L30" s="21"/>
    </row>
    <row r="31" spans="2:51" x14ac:dyDescent="0.2">
      <c r="C31" s="2" t="s">
        <v>21</v>
      </c>
      <c r="H31" s="37"/>
      <c r="I31" s="11">
        <f>(I6-H6)/H6</f>
        <v>0.2</v>
      </c>
      <c r="J31" s="11">
        <f t="shared" ref="J31:M31" si="17">(J6-I6)/I6</f>
        <v>0.16666666666666666</v>
      </c>
      <c r="K31" s="11">
        <f t="shared" si="17"/>
        <v>0.14285714285714285</v>
      </c>
      <c r="L31" s="11">
        <f t="shared" si="17"/>
        <v>0.125</v>
      </c>
      <c r="M31" s="11">
        <f t="shared" si="17"/>
        <v>0.1111111111111111</v>
      </c>
      <c r="N31" s="41">
        <v>0.03</v>
      </c>
      <c r="O31" s="42">
        <f>N31</f>
        <v>0.03</v>
      </c>
      <c r="P31" s="42">
        <f t="shared" ref="P31:AY31" si="18">O31</f>
        <v>0.03</v>
      </c>
      <c r="Q31" s="42">
        <f t="shared" si="18"/>
        <v>0.03</v>
      </c>
      <c r="R31" s="42">
        <f t="shared" si="18"/>
        <v>0.03</v>
      </c>
      <c r="S31" s="42">
        <f t="shared" si="18"/>
        <v>0.03</v>
      </c>
      <c r="T31" s="42">
        <f t="shared" si="18"/>
        <v>0.03</v>
      </c>
      <c r="U31" s="42">
        <f t="shared" si="18"/>
        <v>0.03</v>
      </c>
      <c r="V31" s="42">
        <f t="shared" si="18"/>
        <v>0.03</v>
      </c>
      <c r="W31" s="42">
        <f t="shared" si="18"/>
        <v>0.03</v>
      </c>
      <c r="X31" s="42">
        <f t="shared" si="18"/>
        <v>0.03</v>
      </c>
      <c r="Y31" s="42">
        <f t="shared" si="18"/>
        <v>0.03</v>
      </c>
      <c r="Z31" s="42">
        <f t="shared" si="18"/>
        <v>0.03</v>
      </c>
      <c r="AA31" s="42">
        <f t="shared" si="18"/>
        <v>0.03</v>
      </c>
      <c r="AB31" s="42">
        <f t="shared" si="18"/>
        <v>0.03</v>
      </c>
      <c r="AC31" s="42">
        <f t="shared" si="18"/>
        <v>0.03</v>
      </c>
      <c r="AD31" s="42">
        <f t="shared" si="18"/>
        <v>0.03</v>
      </c>
      <c r="AE31" s="42">
        <f t="shared" si="18"/>
        <v>0.03</v>
      </c>
      <c r="AF31" s="42">
        <f t="shared" si="18"/>
        <v>0.03</v>
      </c>
      <c r="AG31" s="42">
        <f t="shared" si="18"/>
        <v>0.03</v>
      </c>
      <c r="AH31" s="42">
        <f t="shared" si="18"/>
        <v>0.03</v>
      </c>
      <c r="AI31" s="42">
        <f t="shared" si="18"/>
        <v>0.03</v>
      </c>
      <c r="AJ31" s="42">
        <f t="shared" si="18"/>
        <v>0.03</v>
      </c>
      <c r="AK31" s="42">
        <f t="shared" si="18"/>
        <v>0.03</v>
      </c>
      <c r="AL31" s="42">
        <f t="shared" si="18"/>
        <v>0.03</v>
      </c>
      <c r="AM31" s="42">
        <f t="shared" si="18"/>
        <v>0.03</v>
      </c>
      <c r="AN31" s="42">
        <f t="shared" si="18"/>
        <v>0.03</v>
      </c>
      <c r="AO31" s="42">
        <f t="shared" si="18"/>
        <v>0.03</v>
      </c>
      <c r="AP31" s="42">
        <f t="shared" si="18"/>
        <v>0.03</v>
      </c>
      <c r="AQ31" s="42">
        <f t="shared" si="18"/>
        <v>0.03</v>
      </c>
      <c r="AR31" s="42">
        <f t="shared" si="18"/>
        <v>0.03</v>
      </c>
      <c r="AS31" s="42">
        <f t="shared" si="18"/>
        <v>0.03</v>
      </c>
      <c r="AT31" s="42">
        <f t="shared" si="18"/>
        <v>0.03</v>
      </c>
      <c r="AU31" s="42">
        <f t="shared" si="18"/>
        <v>0.03</v>
      </c>
      <c r="AV31" s="42">
        <f t="shared" si="18"/>
        <v>0.03</v>
      </c>
      <c r="AW31" s="42">
        <f t="shared" si="18"/>
        <v>0.03</v>
      </c>
      <c r="AX31" s="42">
        <f t="shared" si="18"/>
        <v>0.03</v>
      </c>
      <c r="AY31" s="42">
        <f t="shared" si="18"/>
        <v>0.03</v>
      </c>
    </row>
    <row r="32" spans="2:51" x14ac:dyDescent="0.2">
      <c r="C32" s="2" t="s">
        <v>23</v>
      </c>
      <c r="H32" s="11">
        <f>H11/H6</f>
        <v>0.36</v>
      </c>
      <c r="I32" s="11">
        <f t="shared" ref="I32:L32" si="19">I11/I6</f>
        <v>0.3</v>
      </c>
      <c r="J32" s="11">
        <f t="shared" si="19"/>
        <v>0.25714285714285712</v>
      </c>
      <c r="K32" s="11">
        <f t="shared" si="19"/>
        <v>0.22500000000000001</v>
      </c>
      <c r="L32" s="11">
        <f t="shared" si="19"/>
        <v>0.2</v>
      </c>
      <c r="M32" s="2" t="s">
        <v>31</v>
      </c>
    </row>
    <row r="33" spans="3:51" x14ac:dyDescent="0.2">
      <c r="C33" s="2" t="s">
        <v>22</v>
      </c>
      <c r="H33" s="11">
        <f>H12/H6</f>
        <v>7.1999999999999995E-2</v>
      </c>
      <c r="I33" s="11">
        <f t="shared" ref="I33:L33" si="20">I12/I6</f>
        <v>0.06</v>
      </c>
      <c r="J33" s="11">
        <f t="shared" si="20"/>
        <v>5.1428571428571428E-2</v>
      </c>
      <c r="K33" s="11">
        <f t="shared" si="20"/>
        <v>4.4999999999999998E-2</v>
      </c>
      <c r="L33" s="11">
        <f t="shared" si="20"/>
        <v>0.04</v>
      </c>
      <c r="M33" s="2" t="s">
        <v>31</v>
      </c>
    </row>
    <row r="34" spans="3:51" x14ac:dyDescent="0.2">
      <c r="C34" s="2" t="s">
        <v>24</v>
      </c>
      <c r="H34" s="11">
        <f>H13/H6</f>
        <v>5.0000000000000001E-3</v>
      </c>
      <c r="I34" s="11">
        <f t="shared" ref="I34:L34" si="21">I13/I6</f>
        <v>5.0000000000000001E-3</v>
      </c>
      <c r="J34" s="11">
        <f t="shared" si="21"/>
        <v>5.0000000000000001E-3</v>
      </c>
      <c r="K34" s="11">
        <f t="shared" si="21"/>
        <v>5.0000000000000001E-3</v>
      </c>
      <c r="L34" s="11">
        <f t="shared" si="21"/>
        <v>5.0000000000000001E-3</v>
      </c>
      <c r="M34" s="41">
        <v>0.04</v>
      </c>
      <c r="N34" s="41">
        <f>M34</f>
        <v>0.04</v>
      </c>
      <c r="O34" s="41">
        <f t="shared" ref="O34:AY34" si="22">N34</f>
        <v>0.04</v>
      </c>
      <c r="P34" s="41">
        <f t="shared" si="22"/>
        <v>0.04</v>
      </c>
      <c r="Q34" s="41">
        <f t="shared" si="22"/>
        <v>0.04</v>
      </c>
      <c r="R34" s="41">
        <f t="shared" si="22"/>
        <v>0.04</v>
      </c>
      <c r="S34" s="41">
        <f t="shared" si="22"/>
        <v>0.04</v>
      </c>
      <c r="T34" s="41">
        <f t="shared" si="22"/>
        <v>0.04</v>
      </c>
      <c r="U34" s="41">
        <f t="shared" si="22"/>
        <v>0.04</v>
      </c>
      <c r="V34" s="41">
        <f t="shared" si="22"/>
        <v>0.04</v>
      </c>
      <c r="W34" s="41">
        <f t="shared" si="22"/>
        <v>0.04</v>
      </c>
      <c r="X34" s="41">
        <f t="shared" si="22"/>
        <v>0.04</v>
      </c>
      <c r="Y34" s="41">
        <f t="shared" si="22"/>
        <v>0.04</v>
      </c>
      <c r="Z34" s="41">
        <f t="shared" si="22"/>
        <v>0.04</v>
      </c>
      <c r="AA34" s="41">
        <f t="shared" si="22"/>
        <v>0.04</v>
      </c>
      <c r="AB34" s="41">
        <f t="shared" si="22"/>
        <v>0.04</v>
      </c>
      <c r="AC34" s="41">
        <f t="shared" si="22"/>
        <v>0.04</v>
      </c>
      <c r="AD34" s="41">
        <f t="shared" si="22"/>
        <v>0.04</v>
      </c>
      <c r="AE34" s="41">
        <f t="shared" si="22"/>
        <v>0.04</v>
      </c>
      <c r="AF34" s="41">
        <f t="shared" si="22"/>
        <v>0.04</v>
      </c>
      <c r="AG34" s="41">
        <f t="shared" si="22"/>
        <v>0.04</v>
      </c>
      <c r="AH34" s="41">
        <f t="shared" si="22"/>
        <v>0.04</v>
      </c>
      <c r="AI34" s="41">
        <f t="shared" si="22"/>
        <v>0.04</v>
      </c>
      <c r="AJ34" s="41">
        <f t="shared" si="22"/>
        <v>0.04</v>
      </c>
      <c r="AK34" s="41">
        <f t="shared" si="22"/>
        <v>0.04</v>
      </c>
      <c r="AL34" s="41">
        <f t="shared" si="22"/>
        <v>0.04</v>
      </c>
      <c r="AM34" s="41">
        <f t="shared" si="22"/>
        <v>0.04</v>
      </c>
      <c r="AN34" s="41">
        <f t="shared" si="22"/>
        <v>0.04</v>
      </c>
      <c r="AO34" s="41">
        <f t="shared" si="22"/>
        <v>0.04</v>
      </c>
      <c r="AP34" s="41">
        <f t="shared" si="22"/>
        <v>0.04</v>
      </c>
      <c r="AQ34" s="41">
        <f t="shared" si="22"/>
        <v>0.04</v>
      </c>
      <c r="AR34" s="41">
        <f t="shared" si="22"/>
        <v>0.04</v>
      </c>
      <c r="AS34" s="41">
        <f t="shared" si="22"/>
        <v>0.04</v>
      </c>
      <c r="AT34" s="41">
        <f t="shared" si="22"/>
        <v>0.04</v>
      </c>
      <c r="AU34" s="41">
        <f t="shared" si="22"/>
        <v>0.04</v>
      </c>
      <c r="AV34" s="41">
        <f t="shared" si="22"/>
        <v>0.04</v>
      </c>
      <c r="AW34" s="41">
        <f t="shared" si="22"/>
        <v>0.04</v>
      </c>
      <c r="AX34" s="41">
        <f t="shared" si="22"/>
        <v>0.04</v>
      </c>
      <c r="AY34" s="41">
        <f t="shared" si="22"/>
        <v>0.04</v>
      </c>
    </row>
    <row r="35" spans="3:51" x14ac:dyDescent="0.2">
      <c r="C35" s="2" t="s">
        <v>25</v>
      </c>
      <c r="H35" s="11">
        <f>H14/H6</f>
        <v>0.09</v>
      </c>
      <c r="I35" s="11">
        <f t="shared" ref="I35:L35" si="23">I14/I6</f>
        <v>0.09</v>
      </c>
      <c r="J35" s="11">
        <f t="shared" si="23"/>
        <v>0.09</v>
      </c>
      <c r="K35" s="11">
        <f t="shared" si="23"/>
        <v>0.09</v>
      </c>
      <c r="L35" s="11">
        <f t="shared" si="23"/>
        <v>0.09</v>
      </c>
      <c r="M35" s="41">
        <v>0.1</v>
      </c>
      <c r="N35" s="41">
        <f>M35</f>
        <v>0.1</v>
      </c>
      <c r="O35" s="41">
        <f t="shared" ref="O35:AY35" si="24">N35</f>
        <v>0.1</v>
      </c>
      <c r="P35" s="41">
        <f t="shared" si="24"/>
        <v>0.1</v>
      </c>
      <c r="Q35" s="41">
        <f t="shared" si="24"/>
        <v>0.1</v>
      </c>
      <c r="R35" s="41">
        <f t="shared" si="24"/>
        <v>0.1</v>
      </c>
      <c r="S35" s="41">
        <f t="shared" si="24"/>
        <v>0.1</v>
      </c>
      <c r="T35" s="41">
        <f t="shared" si="24"/>
        <v>0.1</v>
      </c>
      <c r="U35" s="41">
        <f t="shared" si="24"/>
        <v>0.1</v>
      </c>
      <c r="V35" s="41">
        <f t="shared" si="24"/>
        <v>0.1</v>
      </c>
      <c r="W35" s="41">
        <f t="shared" si="24"/>
        <v>0.1</v>
      </c>
      <c r="X35" s="41">
        <f t="shared" si="24"/>
        <v>0.1</v>
      </c>
      <c r="Y35" s="41">
        <f t="shared" si="24"/>
        <v>0.1</v>
      </c>
      <c r="Z35" s="41">
        <f t="shared" si="24"/>
        <v>0.1</v>
      </c>
      <c r="AA35" s="41">
        <f t="shared" si="24"/>
        <v>0.1</v>
      </c>
      <c r="AB35" s="41">
        <f t="shared" si="24"/>
        <v>0.1</v>
      </c>
      <c r="AC35" s="41">
        <f t="shared" si="24"/>
        <v>0.1</v>
      </c>
      <c r="AD35" s="41">
        <f t="shared" si="24"/>
        <v>0.1</v>
      </c>
      <c r="AE35" s="41">
        <f t="shared" si="24"/>
        <v>0.1</v>
      </c>
      <c r="AF35" s="41">
        <f t="shared" si="24"/>
        <v>0.1</v>
      </c>
      <c r="AG35" s="41">
        <f t="shared" si="24"/>
        <v>0.1</v>
      </c>
      <c r="AH35" s="41">
        <f t="shared" si="24"/>
        <v>0.1</v>
      </c>
      <c r="AI35" s="41">
        <f t="shared" si="24"/>
        <v>0.1</v>
      </c>
      <c r="AJ35" s="41">
        <f t="shared" si="24"/>
        <v>0.1</v>
      </c>
      <c r="AK35" s="41">
        <f t="shared" si="24"/>
        <v>0.1</v>
      </c>
      <c r="AL35" s="41">
        <f t="shared" si="24"/>
        <v>0.1</v>
      </c>
      <c r="AM35" s="41">
        <f t="shared" si="24"/>
        <v>0.1</v>
      </c>
      <c r="AN35" s="41">
        <f t="shared" si="24"/>
        <v>0.1</v>
      </c>
      <c r="AO35" s="41">
        <f t="shared" si="24"/>
        <v>0.1</v>
      </c>
      <c r="AP35" s="41">
        <f t="shared" si="24"/>
        <v>0.1</v>
      </c>
      <c r="AQ35" s="41">
        <f t="shared" si="24"/>
        <v>0.1</v>
      </c>
      <c r="AR35" s="41">
        <f t="shared" si="24"/>
        <v>0.1</v>
      </c>
      <c r="AS35" s="41">
        <f t="shared" si="24"/>
        <v>0.1</v>
      </c>
      <c r="AT35" s="41">
        <f t="shared" si="24"/>
        <v>0.1</v>
      </c>
      <c r="AU35" s="41">
        <f t="shared" si="24"/>
        <v>0.1</v>
      </c>
      <c r="AV35" s="41">
        <f t="shared" si="24"/>
        <v>0.1</v>
      </c>
      <c r="AW35" s="41">
        <f t="shared" si="24"/>
        <v>0.1</v>
      </c>
      <c r="AX35" s="41">
        <f t="shared" si="24"/>
        <v>0.1</v>
      </c>
      <c r="AY35" s="41">
        <f t="shared" si="24"/>
        <v>0.1</v>
      </c>
    </row>
    <row r="36" spans="3:51" x14ac:dyDescent="0.2">
      <c r="C36" s="2" t="s">
        <v>26</v>
      </c>
      <c r="H36" s="11">
        <f>H15/H6</f>
        <v>2.4E-2</v>
      </c>
      <c r="I36" s="11">
        <f t="shared" ref="I36:L36" si="25">I15/I6</f>
        <v>0.02</v>
      </c>
      <c r="J36" s="11">
        <f t="shared" si="25"/>
        <v>1.7142857142857144E-2</v>
      </c>
      <c r="K36" s="11">
        <f t="shared" si="25"/>
        <v>1.4999999999999999E-2</v>
      </c>
      <c r="L36" s="11">
        <f t="shared" si="25"/>
        <v>1.3333333333333334E-2</v>
      </c>
      <c r="M36" s="2" t="s">
        <v>31</v>
      </c>
    </row>
    <row r="37" spans="3:51" x14ac:dyDescent="0.2">
      <c r="C37" s="2" t="s">
        <v>27</v>
      </c>
      <c r="H37" s="11">
        <f>H16/H6</f>
        <v>0.12</v>
      </c>
      <c r="I37" s="11">
        <f t="shared" ref="I37:L37" si="26">I16/I6</f>
        <v>0.12</v>
      </c>
      <c r="J37" s="11">
        <f t="shared" si="26"/>
        <v>0.12</v>
      </c>
      <c r="K37" s="11">
        <f t="shared" si="26"/>
        <v>0.12</v>
      </c>
      <c r="L37" s="11">
        <f t="shared" si="26"/>
        <v>0.12</v>
      </c>
      <c r="M37" s="41">
        <v>0.05</v>
      </c>
      <c r="N37" s="41">
        <f>M37</f>
        <v>0.05</v>
      </c>
      <c r="O37" s="41">
        <f t="shared" ref="O37:AY37" si="27">N37</f>
        <v>0.05</v>
      </c>
      <c r="P37" s="41">
        <f t="shared" si="27"/>
        <v>0.05</v>
      </c>
      <c r="Q37" s="41">
        <f t="shared" si="27"/>
        <v>0.05</v>
      </c>
      <c r="R37" s="41">
        <f t="shared" si="27"/>
        <v>0.05</v>
      </c>
      <c r="S37" s="41">
        <f t="shared" si="27"/>
        <v>0.05</v>
      </c>
      <c r="T37" s="41">
        <f t="shared" si="27"/>
        <v>0.05</v>
      </c>
      <c r="U37" s="41">
        <f t="shared" si="27"/>
        <v>0.05</v>
      </c>
      <c r="V37" s="41">
        <f t="shared" si="27"/>
        <v>0.05</v>
      </c>
      <c r="W37" s="41">
        <f t="shared" si="27"/>
        <v>0.05</v>
      </c>
      <c r="X37" s="41">
        <f t="shared" si="27"/>
        <v>0.05</v>
      </c>
      <c r="Y37" s="41">
        <f t="shared" si="27"/>
        <v>0.05</v>
      </c>
      <c r="Z37" s="41">
        <f t="shared" si="27"/>
        <v>0.05</v>
      </c>
      <c r="AA37" s="41">
        <f t="shared" si="27"/>
        <v>0.05</v>
      </c>
      <c r="AB37" s="41">
        <f t="shared" si="27"/>
        <v>0.05</v>
      </c>
      <c r="AC37" s="41">
        <f t="shared" si="27"/>
        <v>0.05</v>
      </c>
      <c r="AD37" s="41">
        <f t="shared" si="27"/>
        <v>0.05</v>
      </c>
      <c r="AE37" s="41">
        <f t="shared" si="27"/>
        <v>0.05</v>
      </c>
      <c r="AF37" s="41">
        <f t="shared" si="27"/>
        <v>0.05</v>
      </c>
      <c r="AG37" s="41">
        <f t="shared" si="27"/>
        <v>0.05</v>
      </c>
      <c r="AH37" s="41">
        <f t="shared" si="27"/>
        <v>0.05</v>
      </c>
      <c r="AI37" s="41">
        <f t="shared" si="27"/>
        <v>0.05</v>
      </c>
      <c r="AJ37" s="41">
        <f t="shared" si="27"/>
        <v>0.05</v>
      </c>
      <c r="AK37" s="41">
        <f t="shared" si="27"/>
        <v>0.05</v>
      </c>
      <c r="AL37" s="41">
        <f t="shared" si="27"/>
        <v>0.05</v>
      </c>
      <c r="AM37" s="41">
        <f t="shared" si="27"/>
        <v>0.05</v>
      </c>
      <c r="AN37" s="41">
        <f t="shared" si="27"/>
        <v>0.05</v>
      </c>
      <c r="AO37" s="41">
        <f t="shared" si="27"/>
        <v>0.05</v>
      </c>
      <c r="AP37" s="41">
        <f t="shared" si="27"/>
        <v>0.05</v>
      </c>
      <c r="AQ37" s="41">
        <f t="shared" si="27"/>
        <v>0.05</v>
      </c>
      <c r="AR37" s="41">
        <f t="shared" si="27"/>
        <v>0.05</v>
      </c>
      <c r="AS37" s="41">
        <f t="shared" si="27"/>
        <v>0.05</v>
      </c>
      <c r="AT37" s="41">
        <f t="shared" si="27"/>
        <v>0.05</v>
      </c>
      <c r="AU37" s="41">
        <f t="shared" si="27"/>
        <v>0.05</v>
      </c>
      <c r="AV37" s="41">
        <f t="shared" si="27"/>
        <v>0.05</v>
      </c>
      <c r="AW37" s="41">
        <f t="shared" si="27"/>
        <v>0.05</v>
      </c>
      <c r="AX37" s="41">
        <f t="shared" si="27"/>
        <v>0.05</v>
      </c>
      <c r="AY37" s="41">
        <f t="shared" si="27"/>
        <v>0.05</v>
      </c>
    </row>
    <row r="38" spans="3:51" x14ac:dyDescent="0.2">
      <c r="C38" s="2" t="s">
        <v>29</v>
      </c>
      <c r="H38" s="11">
        <v>0.28000000000000003</v>
      </c>
      <c r="I38" s="11">
        <v>0.28000000000000003</v>
      </c>
      <c r="J38" s="11">
        <v>0.28000000000000003</v>
      </c>
      <c r="K38" s="11">
        <v>0.28000000000000003</v>
      </c>
      <c r="L38" s="11">
        <v>0.28000000000000003</v>
      </c>
      <c r="M38" s="41">
        <v>0.28000000000000003</v>
      </c>
      <c r="N38" s="41">
        <f>M38</f>
        <v>0.28000000000000003</v>
      </c>
      <c r="O38" s="41">
        <f t="shared" ref="O38:AY38" si="28">N38</f>
        <v>0.28000000000000003</v>
      </c>
      <c r="P38" s="41">
        <f t="shared" si="28"/>
        <v>0.28000000000000003</v>
      </c>
      <c r="Q38" s="41">
        <f t="shared" si="28"/>
        <v>0.28000000000000003</v>
      </c>
      <c r="R38" s="41">
        <f t="shared" si="28"/>
        <v>0.28000000000000003</v>
      </c>
      <c r="S38" s="41">
        <f t="shared" si="28"/>
        <v>0.28000000000000003</v>
      </c>
      <c r="T38" s="41">
        <f t="shared" si="28"/>
        <v>0.28000000000000003</v>
      </c>
      <c r="U38" s="41">
        <f t="shared" si="28"/>
        <v>0.28000000000000003</v>
      </c>
      <c r="V38" s="41">
        <f t="shared" si="28"/>
        <v>0.28000000000000003</v>
      </c>
      <c r="W38" s="41">
        <f t="shared" si="28"/>
        <v>0.28000000000000003</v>
      </c>
      <c r="X38" s="41">
        <f t="shared" si="28"/>
        <v>0.28000000000000003</v>
      </c>
      <c r="Y38" s="41">
        <f t="shared" si="28"/>
        <v>0.28000000000000003</v>
      </c>
      <c r="Z38" s="41">
        <f t="shared" si="28"/>
        <v>0.28000000000000003</v>
      </c>
      <c r="AA38" s="41">
        <f t="shared" si="28"/>
        <v>0.28000000000000003</v>
      </c>
      <c r="AB38" s="41">
        <f t="shared" si="28"/>
        <v>0.28000000000000003</v>
      </c>
      <c r="AC38" s="41">
        <f t="shared" si="28"/>
        <v>0.28000000000000003</v>
      </c>
      <c r="AD38" s="41">
        <f t="shared" si="28"/>
        <v>0.28000000000000003</v>
      </c>
      <c r="AE38" s="41">
        <f t="shared" si="28"/>
        <v>0.28000000000000003</v>
      </c>
      <c r="AF38" s="41">
        <f t="shared" si="28"/>
        <v>0.28000000000000003</v>
      </c>
      <c r="AG38" s="41">
        <f t="shared" si="28"/>
        <v>0.28000000000000003</v>
      </c>
      <c r="AH38" s="41">
        <f t="shared" si="28"/>
        <v>0.28000000000000003</v>
      </c>
      <c r="AI38" s="41">
        <f t="shared" si="28"/>
        <v>0.28000000000000003</v>
      </c>
      <c r="AJ38" s="41">
        <f t="shared" si="28"/>
        <v>0.28000000000000003</v>
      </c>
      <c r="AK38" s="41">
        <f t="shared" si="28"/>
        <v>0.28000000000000003</v>
      </c>
      <c r="AL38" s="41">
        <f t="shared" si="28"/>
        <v>0.28000000000000003</v>
      </c>
      <c r="AM38" s="41">
        <f t="shared" si="28"/>
        <v>0.28000000000000003</v>
      </c>
      <c r="AN38" s="41">
        <f t="shared" si="28"/>
        <v>0.28000000000000003</v>
      </c>
      <c r="AO38" s="41">
        <f t="shared" si="28"/>
        <v>0.28000000000000003</v>
      </c>
      <c r="AP38" s="41">
        <f t="shared" si="28"/>
        <v>0.28000000000000003</v>
      </c>
      <c r="AQ38" s="41">
        <f t="shared" si="28"/>
        <v>0.28000000000000003</v>
      </c>
      <c r="AR38" s="41">
        <f t="shared" si="28"/>
        <v>0.28000000000000003</v>
      </c>
      <c r="AS38" s="41">
        <f t="shared" si="28"/>
        <v>0.28000000000000003</v>
      </c>
      <c r="AT38" s="41">
        <f t="shared" si="28"/>
        <v>0.28000000000000003</v>
      </c>
      <c r="AU38" s="41">
        <f t="shared" si="28"/>
        <v>0.28000000000000003</v>
      </c>
      <c r="AV38" s="41">
        <f t="shared" si="28"/>
        <v>0.28000000000000003</v>
      </c>
      <c r="AW38" s="41">
        <f t="shared" si="28"/>
        <v>0.28000000000000003</v>
      </c>
      <c r="AX38" s="41">
        <f t="shared" si="28"/>
        <v>0.28000000000000003</v>
      </c>
      <c r="AY38" s="41">
        <f t="shared" si="28"/>
        <v>0.28000000000000003</v>
      </c>
    </row>
    <row r="39" spans="3:51" x14ac:dyDescent="0.2">
      <c r="C39" s="2" t="s">
        <v>28</v>
      </c>
      <c r="H39" s="39">
        <v>0.01</v>
      </c>
      <c r="I39" s="39">
        <v>0.01</v>
      </c>
      <c r="J39" s="39">
        <v>0.01</v>
      </c>
      <c r="K39" s="39">
        <v>0.01</v>
      </c>
      <c r="L39" s="39">
        <v>0.01</v>
      </c>
      <c r="M39" s="41">
        <v>1.4999999999999999E-2</v>
      </c>
      <c r="N39" s="41">
        <f>M39</f>
        <v>1.4999999999999999E-2</v>
      </c>
      <c r="O39" s="41">
        <f t="shared" ref="O39:AY39" si="29">N39</f>
        <v>1.4999999999999999E-2</v>
      </c>
      <c r="P39" s="41">
        <f t="shared" si="29"/>
        <v>1.4999999999999999E-2</v>
      </c>
      <c r="Q39" s="41">
        <f t="shared" si="29"/>
        <v>1.4999999999999999E-2</v>
      </c>
      <c r="R39" s="41">
        <f t="shared" si="29"/>
        <v>1.4999999999999999E-2</v>
      </c>
      <c r="S39" s="41">
        <f t="shared" si="29"/>
        <v>1.4999999999999999E-2</v>
      </c>
      <c r="T39" s="41">
        <f t="shared" si="29"/>
        <v>1.4999999999999999E-2</v>
      </c>
      <c r="U39" s="41">
        <f t="shared" si="29"/>
        <v>1.4999999999999999E-2</v>
      </c>
      <c r="V39" s="41">
        <f t="shared" si="29"/>
        <v>1.4999999999999999E-2</v>
      </c>
      <c r="W39" s="41">
        <f t="shared" si="29"/>
        <v>1.4999999999999999E-2</v>
      </c>
      <c r="X39" s="41">
        <f t="shared" si="29"/>
        <v>1.4999999999999999E-2</v>
      </c>
      <c r="Y39" s="41">
        <f t="shared" si="29"/>
        <v>1.4999999999999999E-2</v>
      </c>
      <c r="Z39" s="41">
        <f t="shared" si="29"/>
        <v>1.4999999999999999E-2</v>
      </c>
      <c r="AA39" s="41">
        <f t="shared" si="29"/>
        <v>1.4999999999999999E-2</v>
      </c>
      <c r="AB39" s="41">
        <f t="shared" si="29"/>
        <v>1.4999999999999999E-2</v>
      </c>
      <c r="AC39" s="41">
        <f t="shared" si="29"/>
        <v>1.4999999999999999E-2</v>
      </c>
      <c r="AD39" s="41">
        <f t="shared" si="29"/>
        <v>1.4999999999999999E-2</v>
      </c>
      <c r="AE39" s="41">
        <f t="shared" si="29"/>
        <v>1.4999999999999999E-2</v>
      </c>
      <c r="AF39" s="41">
        <f t="shared" si="29"/>
        <v>1.4999999999999999E-2</v>
      </c>
      <c r="AG39" s="41">
        <f t="shared" si="29"/>
        <v>1.4999999999999999E-2</v>
      </c>
      <c r="AH39" s="41">
        <f t="shared" si="29"/>
        <v>1.4999999999999999E-2</v>
      </c>
      <c r="AI39" s="41">
        <f t="shared" si="29"/>
        <v>1.4999999999999999E-2</v>
      </c>
      <c r="AJ39" s="41">
        <f t="shared" si="29"/>
        <v>1.4999999999999999E-2</v>
      </c>
      <c r="AK39" s="41">
        <f t="shared" si="29"/>
        <v>1.4999999999999999E-2</v>
      </c>
      <c r="AL39" s="41">
        <f t="shared" si="29"/>
        <v>1.4999999999999999E-2</v>
      </c>
      <c r="AM39" s="41">
        <f t="shared" si="29"/>
        <v>1.4999999999999999E-2</v>
      </c>
      <c r="AN39" s="41">
        <f t="shared" si="29"/>
        <v>1.4999999999999999E-2</v>
      </c>
      <c r="AO39" s="41">
        <f t="shared" si="29"/>
        <v>1.4999999999999999E-2</v>
      </c>
      <c r="AP39" s="41">
        <f t="shared" si="29"/>
        <v>1.4999999999999999E-2</v>
      </c>
      <c r="AQ39" s="41">
        <f t="shared" si="29"/>
        <v>1.4999999999999999E-2</v>
      </c>
      <c r="AR39" s="41">
        <f t="shared" si="29"/>
        <v>1.4999999999999999E-2</v>
      </c>
      <c r="AS39" s="41">
        <f t="shared" si="29"/>
        <v>1.4999999999999999E-2</v>
      </c>
      <c r="AT39" s="41">
        <f t="shared" si="29"/>
        <v>1.4999999999999999E-2</v>
      </c>
      <c r="AU39" s="41">
        <f t="shared" si="29"/>
        <v>1.4999999999999999E-2</v>
      </c>
      <c r="AV39" s="41">
        <f t="shared" si="29"/>
        <v>1.4999999999999999E-2</v>
      </c>
      <c r="AW39" s="41">
        <f t="shared" si="29"/>
        <v>1.4999999999999999E-2</v>
      </c>
      <c r="AX39" s="41">
        <f t="shared" si="29"/>
        <v>1.4999999999999999E-2</v>
      </c>
      <c r="AY39" s="41">
        <f t="shared" si="29"/>
        <v>1.4999999999999999E-2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Input">
                <anchor moveWithCells="1" sizeWithCells="1">
                  <from>
                    <xdr:col>4</xdr:col>
                    <xdr:colOff>38100</xdr:colOff>
                    <xdr:row>4</xdr:row>
                    <xdr:rowOff>47625</xdr:rowOff>
                  </from>
                  <to>
                    <xdr:col>6</xdr:col>
                    <xdr:colOff>9525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39"/>
  <sheetViews>
    <sheetView workbookViewId="0">
      <selection activeCell="C42" sqref="C42"/>
    </sheetView>
  </sheetViews>
  <sheetFormatPr defaultColWidth="9.140625" defaultRowHeight="12.75" x14ac:dyDescent="0.2"/>
  <cols>
    <col min="1" max="1" width="9.140625" style="2"/>
    <col min="2" max="2" width="4" style="2" customWidth="1"/>
    <col min="3" max="7" width="9.140625" style="2"/>
    <col min="8" max="8" width="10.42578125" style="2" bestFit="1" customWidth="1"/>
    <col min="9" max="30" width="11.28515625" style="2" bestFit="1" customWidth="1"/>
    <col min="31" max="51" width="12.85546875" style="2" bestFit="1" customWidth="1"/>
    <col min="52" max="16384" width="9.140625" style="2"/>
  </cols>
  <sheetData>
    <row r="1" spans="1:51" x14ac:dyDescent="0.2">
      <c r="A1" s="6"/>
      <c r="G1" s="35" t="s">
        <v>17</v>
      </c>
      <c r="H1" s="34">
        <v>22</v>
      </c>
      <c r="I1" s="2">
        <v>23</v>
      </c>
      <c r="J1" s="2">
        <v>24</v>
      </c>
      <c r="K1" s="34">
        <v>25</v>
      </c>
      <c r="L1" s="2">
        <v>26</v>
      </c>
      <c r="M1" s="2">
        <v>27</v>
      </c>
      <c r="N1" s="34">
        <v>28</v>
      </c>
      <c r="O1" s="2">
        <v>29</v>
      </c>
      <c r="P1" s="2">
        <v>30</v>
      </c>
      <c r="Q1" s="34">
        <v>31</v>
      </c>
      <c r="R1" s="2">
        <v>32</v>
      </c>
      <c r="S1" s="2">
        <v>33</v>
      </c>
      <c r="T1" s="34">
        <v>34</v>
      </c>
      <c r="U1" s="2">
        <v>35</v>
      </c>
      <c r="V1" s="2">
        <v>36</v>
      </c>
      <c r="W1" s="34">
        <v>37</v>
      </c>
      <c r="X1" s="2">
        <v>38</v>
      </c>
      <c r="Y1" s="2">
        <v>39</v>
      </c>
      <c r="Z1" s="34">
        <v>40</v>
      </c>
      <c r="AA1" s="2">
        <v>41</v>
      </c>
      <c r="AB1" s="2">
        <v>42</v>
      </c>
      <c r="AC1" s="34">
        <v>43</v>
      </c>
      <c r="AD1" s="2">
        <v>44</v>
      </c>
      <c r="AE1" s="2">
        <v>45</v>
      </c>
      <c r="AF1" s="34">
        <v>46</v>
      </c>
      <c r="AG1" s="2">
        <v>47</v>
      </c>
      <c r="AH1" s="2">
        <v>48</v>
      </c>
      <c r="AI1" s="34">
        <v>49</v>
      </c>
      <c r="AJ1" s="2">
        <v>50</v>
      </c>
      <c r="AK1" s="2">
        <v>51</v>
      </c>
      <c r="AL1" s="34">
        <v>52</v>
      </c>
      <c r="AM1" s="2">
        <v>53</v>
      </c>
      <c r="AN1" s="2">
        <v>54</v>
      </c>
      <c r="AO1" s="34">
        <v>55</v>
      </c>
      <c r="AP1" s="2">
        <v>56</v>
      </c>
      <c r="AQ1" s="2">
        <v>57</v>
      </c>
      <c r="AR1" s="34">
        <v>58</v>
      </c>
      <c r="AS1" s="2">
        <v>59</v>
      </c>
      <c r="AT1" s="2">
        <v>60</v>
      </c>
      <c r="AU1" s="34">
        <v>61</v>
      </c>
      <c r="AV1" s="2">
        <v>62</v>
      </c>
      <c r="AW1" s="2">
        <v>63</v>
      </c>
      <c r="AX1" s="34">
        <v>64</v>
      </c>
      <c r="AY1" s="2">
        <v>65</v>
      </c>
    </row>
    <row r="2" spans="1:51" x14ac:dyDescent="0.2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</row>
    <row r="3" spans="1:51" x14ac:dyDescent="0.2">
      <c r="H3" s="27">
        <f t="shared" ref="H3:J3" si="0">I3-1</f>
        <v>2012</v>
      </c>
      <c r="I3" s="27">
        <f t="shared" si="0"/>
        <v>2013</v>
      </c>
      <c r="J3" s="27">
        <f t="shared" si="0"/>
        <v>2014</v>
      </c>
      <c r="K3" s="27">
        <f>L3-1</f>
        <v>2015</v>
      </c>
      <c r="L3" s="28">
        <f>M3-1</f>
        <v>2016</v>
      </c>
      <c r="M3" s="19">
        <v>2017</v>
      </c>
      <c r="N3" s="27">
        <f>M3+1</f>
        <v>2018</v>
      </c>
      <c r="O3" s="27">
        <f t="shared" ref="O3:P3" si="1">N3+1</f>
        <v>2019</v>
      </c>
      <c r="P3" s="27">
        <f t="shared" si="1"/>
        <v>2020</v>
      </c>
      <c r="Q3" s="27">
        <f t="shared" ref="Q3" si="2">P3+1</f>
        <v>2021</v>
      </c>
      <c r="R3" s="27">
        <f t="shared" ref="R3" si="3">Q3+1</f>
        <v>2022</v>
      </c>
      <c r="S3" s="27">
        <f t="shared" ref="S3" si="4">R3+1</f>
        <v>2023</v>
      </c>
      <c r="T3" s="27">
        <f t="shared" ref="T3" si="5">S3+1</f>
        <v>2024</v>
      </c>
      <c r="U3" s="27">
        <f t="shared" ref="U3" si="6">T3+1</f>
        <v>2025</v>
      </c>
      <c r="V3" s="27">
        <f t="shared" ref="V3" si="7">U3+1</f>
        <v>2026</v>
      </c>
      <c r="W3" s="27">
        <f t="shared" ref="W3" si="8">V3+1</f>
        <v>2027</v>
      </c>
      <c r="X3" s="27">
        <f t="shared" ref="X3" si="9">W3+1</f>
        <v>2028</v>
      </c>
      <c r="Y3" s="27">
        <f t="shared" ref="Y3" si="10">X3+1</f>
        <v>2029</v>
      </c>
      <c r="Z3" s="27">
        <f t="shared" ref="Z3" si="11">Y3+1</f>
        <v>2030</v>
      </c>
      <c r="AA3" s="27">
        <f t="shared" ref="AA3" si="12">Z3+1</f>
        <v>2031</v>
      </c>
      <c r="AB3" s="27">
        <f t="shared" ref="AB3" si="13">AA3+1</f>
        <v>2032</v>
      </c>
      <c r="AC3" s="27">
        <f t="shared" ref="AC3" si="14">AB3+1</f>
        <v>2033</v>
      </c>
      <c r="AD3" s="27">
        <f t="shared" ref="AD3" si="15">AC3+1</f>
        <v>2034</v>
      </c>
      <c r="AE3" s="27">
        <f t="shared" ref="AE3" si="16">AD3+1</f>
        <v>2035</v>
      </c>
      <c r="AF3" s="27">
        <f t="shared" ref="AF3" si="17">AE3+1</f>
        <v>2036</v>
      </c>
      <c r="AG3" s="27">
        <f t="shared" ref="AG3" si="18">AF3+1</f>
        <v>2037</v>
      </c>
      <c r="AH3" s="27">
        <f t="shared" ref="AH3" si="19">AG3+1</f>
        <v>2038</v>
      </c>
      <c r="AI3" s="27">
        <f t="shared" ref="AI3" si="20">AH3+1</f>
        <v>2039</v>
      </c>
      <c r="AJ3" s="27">
        <f t="shared" ref="AJ3" si="21">AI3+1</f>
        <v>2040</v>
      </c>
      <c r="AK3" s="27">
        <f t="shared" ref="AK3" si="22">AJ3+1</f>
        <v>2041</v>
      </c>
      <c r="AL3" s="27">
        <f t="shared" ref="AL3" si="23">AK3+1</f>
        <v>2042</v>
      </c>
      <c r="AM3" s="27">
        <f t="shared" ref="AM3" si="24">AL3+1</f>
        <v>2043</v>
      </c>
      <c r="AN3" s="27">
        <f t="shared" ref="AN3" si="25">AM3+1</f>
        <v>2044</v>
      </c>
      <c r="AO3" s="27">
        <f t="shared" ref="AO3" si="26">AN3+1</f>
        <v>2045</v>
      </c>
      <c r="AP3" s="27">
        <f t="shared" ref="AP3" si="27">AO3+1</f>
        <v>2046</v>
      </c>
      <c r="AQ3" s="27">
        <f t="shared" ref="AQ3" si="28">AP3+1</f>
        <v>2047</v>
      </c>
      <c r="AR3" s="27">
        <f t="shared" ref="AR3" si="29">AQ3+1</f>
        <v>2048</v>
      </c>
      <c r="AS3" s="27">
        <f t="shared" ref="AS3" si="30">AR3+1</f>
        <v>2049</v>
      </c>
      <c r="AT3" s="27">
        <f t="shared" ref="AT3" si="31">AS3+1</f>
        <v>2050</v>
      </c>
      <c r="AU3" s="27">
        <f t="shared" ref="AU3" si="32">AT3+1</f>
        <v>2051</v>
      </c>
      <c r="AV3" s="27">
        <f t="shared" ref="AV3" si="33">AU3+1</f>
        <v>2052</v>
      </c>
      <c r="AW3" s="27">
        <f t="shared" ref="AW3" si="34">AV3+1</f>
        <v>2053</v>
      </c>
      <c r="AX3" s="27">
        <f t="shared" ref="AX3" si="35">AW3+1</f>
        <v>2054</v>
      </c>
      <c r="AY3" s="27">
        <f t="shared" ref="AY3" si="36">AX3+1</f>
        <v>2055</v>
      </c>
    </row>
    <row r="4" spans="1:51" x14ac:dyDescent="0.2">
      <c r="H4" s="29"/>
      <c r="I4" s="29"/>
      <c r="J4" s="29"/>
      <c r="K4" s="29"/>
      <c r="L4" s="30"/>
      <c r="M4" s="29"/>
      <c r="N4" s="29"/>
      <c r="O4" s="29"/>
      <c r="P4" s="29"/>
    </row>
    <row r="5" spans="1:51" x14ac:dyDescent="0.2">
      <c r="B5" s="4" t="s">
        <v>9</v>
      </c>
      <c r="H5" s="29"/>
      <c r="I5" s="29"/>
      <c r="J5" s="29"/>
      <c r="K5" s="29"/>
      <c r="L5" s="30"/>
      <c r="M5" s="29"/>
      <c r="N5" s="29"/>
      <c r="O5" s="29"/>
      <c r="P5" s="29"/>
    </row>
    <row r="6" spans="1:51" x14ac:dyDescent="0.2">
      <c r="B6" s="2" t="s">
        <v>15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1">
        <v>100000</v>
      </c>
      <c r="N6" s="31">
        <f>M6*(1+N31)</f>
        <v>103000</v>
      </c>
      <c r="O6" s="31">
        <f t="shared" ref="O6:AY6" si="37">N6*(1+O31)</f>
        <v>106090</v>
      </c>
      <c r="P6" s="31">
        <f t="shared" si="37"/>
        <v>109272.7</v>
      </c>
      <c r="Q6" s="31">
        <f t="shared" si="37"/>
        <v>112550.88099999999</v>
      </c>
      <c r="R6" s="31">
        <f t="shared" si="37"/>
        <v>115927.40742999999</v>
      </c>
      <c r="S6" s="31">
        <f t="shared" si="37"/>
        <v>119405.2296529</v>
      </c>
      <c r="T6" s="31">
        <f t="shared" si="37"/>
        <v>122987.386542487</v>
      </c>
      <c r="U6" s="31">
        <f t="shared" si="37"/>
        <v>126677.00813876161</v>
      </c>
      <c r="V6" s="31">
        <f t="shared" si="37"/>
        <v>130477.31838292447</v>
      </c>
      <c r="W6" s="31">
        <f t="shared" si="37"/>
        <v>134391.6379344122</v>
      </c>
      <c r="X6" s="31">
        <f t="shared" si="37"/>
        <v>138423.38707244457</v>
      </c>
      <c r="Y6" s="31">
        <f t="shared" si="37"/>
        <v>142576.08868461792</v>
      </c>
      <c r="Z6" s="31">
        <f t="shared" si="37"/>
        <v>146853.37134515645</v>
      </c>
      <c r="AA6" s="31">
        <f t="shared" si="37"/>
        <v>151258.97248551116</v>
      </c>
      <c r="AB6" s="31">
        <f t="shared" si="37"/>
        <v>155796.74166007648</v>
      </c>
      <c r="AC6" s="31">
        <f t="shared" si="37"/>
        <v>160470.6439098788</v>
      </c>
      <c r="AD6" s="31">
        <f t="shared" si="37"/>
        <v>165284.76322717516</v>
      </c>
      <c r="AE6" s="31">
        <f t="shared" si="37"/>
        <v>170243.30612399042</v>
      </c>
      <c r="AF6" s="31">
        <f t="shared" si="37"/>
        <v>175350.60530771012</v>
      </c>
      <c r="AG6" s="31">
        <f t="shared" si="37"/>
        <v>180611.12346694144</v>
      </c>
      <c r="AH6" s="31">
        <f t="shared" si="37"/>
        <v>186029.4571709497</v>
      </c>
      <c r="AI6" s="31">
        <f t="shared" si="37"/>
        <v>191610.34088607819</v>
      </c>
      <c r="AJ6" s="31">
        <f t="shared" si="37"/>
        <v>197358.65111266053</v>
      </c>
      <c r="AK6" s="31">
        <f t="shared" si="37"/>
        <v>203279.41064604034</v>
      </c>
      <c r="AL6" s="31">
        <f t="shared" si="37"/>
        <v>209377.79296542157</v>
      </c>
      <c r="AM6" s="31">
        <f t="shared" si="37"/>
        <v>215659.12675438423</v>
      </c>
      <c r="AN6" s="31">
        <f t="shared" si="37"/>
        <v>222128.90055701576</v>
      </c>
      <c r="AO6" s="31">
        <f t="shared" si="37"/>
        <v>228792.76757372625</v>
      </c>
      <c r="AP6" s="31">
        <f t="shared" si="37"/>
        <v>235656.55060093803</v>
      </c>
      <c r="AQ6" s="31">
        <f t="shared" si="37"/>
        <v>242726.24711896619</v>
      </c>
      <c r="AR6" s="31">
        <f t="shared" si="37"/>
        <v>250008.03453253518</v>
      </c>
      <c r="AS6" s="31">
        <f t="shared" si="37"/>
        <v>257508.27556851125</v>
      </c>
      <c r="AT6" s="31">
        <f t="shared" si="37"/>
        <v>265233.52383556659</v>
      </c>
      <c r="AU6" s="31">
        <f t="shared" si="37"/>
        <v>273190.52955063363</v>
      </c>
      <c r="AV6" s="31">
        <f t="shared" si="37"/>
        <v>281386.24543715263</v>
      </c>
      <c r="AW6" s="31">
        <f t="shared" si="37"/>
        <v>289827.83280026721</v>
      </c>
      <c r="AX6" s="31">
        <f t="shared" si="37"/>
        <v>298522.66778427525</v>
      </c>
      <c r="AY6" s="31">
        <f t="shared" si="37"/>
        <v>307478.3478178035</v>
      </c>
    </row>
    <row r="7" spans="1:51" x14ac:dyDescent="0.2">
      <c r="H7" s="32"/>
      <c r="I7" s="32"/>
      <c r="J7" s="32"/>
      <c r="K7" s="32"/>
      <c r="L7" s="33"/>
      <c r="M7" s="32"/>
      <c r="N7" s="32"/>
      <c r="O7" s="32"/>
      <c r="P7" s="32"/>
    </row>
    <row r="8" spans="1:51" x14ac:dyDescent="0.2">
      <c r="C8" s="3" t="s">
        <v>10</v>
      </c>
      <c r="H8" s="13">
        <f>SUM(H6)</f>
        <v>50000</v>
      </c>
      <c r="I8" s="13">
        <f t="shared" ref="I8:AY8" si="38">SUM(I6)</f>
        <v>60000</v>
      </c>
      <c r="J8" s="13">
        <f t="shared" si="38"/>
        <v>70000</v>
      </c>
      <c r="K8" s="13">
        <f t="shared" si="38"/>
        <v>80000</v>
      </c>
      <c r="L8" s="13">
        <f t="shared" si="38"/>
        <v>90000</v>
      </c>
      <c r="M8" s="13">
        <f t="shared" si="38"/>
        <v>100000</v>
      </c>
      <c r="N8" s="13">
        <f t="shared" si="38"/>
        <v>103000</v>
      </c>
      <c r="O8" s="13">
        <f t="shared" si="38"/>
        <v>106090</v>
      </c>
      <c r="P8" s="13">
        <f t="shared" si="38"/>
        <v>109272.7</v>
      </c>
      <c r="Q8" s="13">
        <f t="shared" si="38"/>
        <v>112550.88099999999</v>
      </c>
      <c r="R8" s="13">
        <f t="shared" si="38"/>
        <v>115927.40742999999</v>
      </c>
      <c r="S8" s="13">
        <f t="shared" si="38"/>
        <v>119405.2296529</v>
      </c>
      <c r="T8" s="13">
        <f t="shared" si="38"/>
        <v>122987.386542487</v>
      </c>
      <c r="U8" s="13">
        <f t="shared" si="38"/>
        <v>126677.00813876161</v>
      </c>
      <c r="V8" s="13">
        <f t="shared" si="38"/>
        <v>130477.31838292447</v>
      </c>
      <c r="W8" s="13">
        <f t="shared" si="38"/>
        <v>134391.6379344122</v>
      </c>
      <c r="X8" s="13">
        <f t="shared" si="38"/>
        <v>138423.38707244457</v>
      </c>
      <c r="Y8" s="13">
        <f t="shared" si="38"/>
        <v>142576.08868461792</v>
      </c>
      <c r="Z8" s="13">
        <f t="shared" si="38"/>
        <v>146853.37134515645</v>
      </c>
      <c r="AA8" s="13">
        <f t="shared" si="38"/>
        <v>151258.97248551116</v>
      </c>
      <c r="AB8" s="13">
        <f t="shared" si="38"/>
        <v>155796.74166007648</v>
      </c>
      <c r="AC8" s="13">
        <f t="shared" si="38"/>
        <v>160470.6439098788</v>
      </c>
      <c r="AD8" s="13">
        <f t="shared" si="38"/>
        <v>165284.76322717516</v>
      </c>
      <c r="AE8" s="13">
        <f t="shared" si="38"/>
        <v>170243.30612399042</v>
      </c>
      <c r="AF8" s="13">
        <f t="shared" si="38"/>
        <v>175350.60530771012</v>
      </c>
      <c r="AG8" s="13">
        <f t="shared" si="38"/>
        <v>180611.12346694144</v>
      </c>
      <c r="AH8" s="13">
        <f t="shared" si="38"/>
        <v>186029.4571709497</v>
      </c>
      <c r="AI8" s="13">
        <f t="shared" si="38"/>
        <v>191610.34088607819</v>
      </c>
      <c r="AJ8" s="13">
        <f t="shared" si="38"/>
        <v>197358.65111266053</v>
      </c>
      <c r="AK8" s="13">
        <f t="shared" si="38"/>
        <v>203279.41064604034</v>
      </c>
      <c r="AL8" s="13">
        <f t="shared" si="38"/>
        <v>209377.79296542157</v>
      </c>
      <c r="AM8" s="13">
        <f t="shared" si="38"/>
        <v>215659.12675438423</v>
      </c>
      <c r="AN8" s="13">
        <f t="shared" si="38"/>
        <v>222128.90055701576</v>
      </c>
      <c r="AO8" s="13">
        <f t="shared" si="38"/>
        <v>228792.76757372625</v>
      </c>
      <c r="AP8" s="13">
        <f t="shared" si="38"/>
        <v>235656.55060093803</v>
      </c>
      <c r="AQ8" s="13">
        <f t="shared" si="38"/>
        <v>242726.24711896619</v>
      </c>
      <c r="AR8" s="13">
        <f t="shared" si="38"/>
        <v>250008.03453253518</v>
      </c>
      <c r="AS8" s="13">
        <f t="shared" si="38"/>
        <v>257508.27556851125</v>
      </c>
      <c r="AT8" s="13">
        <f t="shared" si="38"/>
        <v>265233.52383556659</v>
      </c>
      <c r="AU8" s="13">
        <f t="shared" si="38"/>
        <v>273190.52955063363</v>
      </c>
      <c r="AV8" s="13">
        <f t="shared" si="38"/>
        <v>281386.24543715263</v>
      </c>
      <c r="AW8" s="13">
        <f t="shared" si="38"/>
        <v>289827.83280026721</v>
      </c>
      <c r="AX8" s="13">
        <f t="shared" si="38"/>
        <v>298522.66778427525</v>
      </c>
      <c r="AY8" s="13">
        <f t="shared" si="38"/>
        <v>307478.3478178035</v>
      </c>
    </row>
    <row r="9" spans="1:51" x14ac:dyDescent="0.2">
      <c r="H9" s="12"/>
      <c r="I9" s="12"/>
      <c r="J9" s="12"/>
      <c r="K9" s="12"/>
      <c r="L9" s="25"/>
      <c r="M9" s="12"/>
      <c r="N9" s="12"/>
      <c r="O9" s="12"/>
      <c r="P9" s="12"/>
    </row>
    <row r="10" spans="1:51" x14ac:dyDescent="0.2">
      <c r="B10" s="4" t="s">
        <v>11</v>
      </c>
      <c r="H10" s="12"/>
      <c r="I10" s="12"/>
      <c r="J10" s="12"/>
      <c r="K10" s="12"/>
      <c r="L10" s="25"/>
      <c r="M10" s="12"/>
      <c r="N10" s="12"/>
      <c r="O10" s="12"/>
      <c r="P10" s="12"/>
    </row>
    <row r="11" spans="1:51" x14ac:dyDescent="0.2">
      <c r="B11" s="2" t="s">
        <v>7</v>
      </c>
      <c r="H11" s="10">
        <f>1500*12</f>
        <v>18000</v>
      </c>
      <c r="I11" s="10">
        <f t="shared" ref="I11:AK11" si="39">1500*12</f>
        <v>18000</v>
      </c>
      <c r="J11" s="10">
        <f t="shared" si="39"/>
        <v>18000</v>
      </c>
      <c r="K11" s="10">
        <f t="shared" si="39"/>
        <v>18000</v>
      </c>
      <c r="L11" s="24">
        <f t="shared" si="39"/>
        <v>18000</v>
      </c>
      <c r="M11" s="24">
        <f t="shared" si="39"/>
        <v>18000</v>
      </c>
      <c r="N11" s="24">
        <f t="shared" si="39"/>
        <v>18000</v>
      </c>
      <c r="O11" s="24">
        <f t="shared" si="39"/>
        <v>18000</v>
      </c>
      <c r="P11" s="24">
        <f t="shared" si="39"/>
        <v>18000</v>
      </c>
      <c r="Q11" s="24">
        <f t="shared" si="39"/>
        <v>18000</v>
      </c>
      <c r="R11" s="24">
        <f t="shared" si="39"/>
        <v>18000</v>
      </c>
      <c r="S11" s="24">
        <f t="shared" si="39"/>
        <v>18000</v>
      </c>
      <c r="T11" s="24">
        <f t="shared" si="39"/>
        <v>18000</v>
      </c>
      <c r="U11" s="24">
        <f t="shared" si="39"/>
        <v>18000</v>
      </c>
      <c r="V11" s="24">
        <f t="shared" si="39"/>
        <v>18000</v>
      </c>
      <c r="W11" s="24">
        <f t="shared" si="39"/>
        <v>18000</v>
      </c>
      <c r="X11" s="24">
        <f t="shared" si="39"/>
        <v>18000</v>
      </c>
      <c r="Y11" s="24">
        <f t="shared" si="39"/>
        <v>18000</v>
      </c>
      <c r="Z11" s="24">
        <f t="shared" si="39"/>
        <v>18000</v>
      </c>
      <c r="AA11" s="24">
        <f t="shared" si="39"/>
        <v>18000</v>
      </c>
      <c r="AB11" s="24">
        <f t="shared" si="39"/>
        <v>18000</v>
      </c>
      <c r="AC11" s="24">
        <f t="shared" si="39"/>
        <v>18000</v>
      </c>
      <c r="AD11" s="24">
        <f t="shared" si="39"/>
        <v>18000</v>
      </c>
      <c r="AE11" s="24">
        <f t="shared" si="39"/>
        <v>18000</v>
      </c>
      <c r="AF11" s="24">
        <f t="shared" si="39"/>
        <v>18000</v>
      </c>
      <c r="AG11" s="24">
        <f t="shared" si="39"/>
        <v>18000</v>
      </c>
      <c r="AH11" s="24">
        <f t="shared" si="39"/>
        <v>18000</v>
      </c>
      <c r="AI11" s="24">
        <f t="shared" si="39"/>
        <v>18000</v>
      </c>
      <c r="AJ11" s="24">
        <f t="shared" si="39"/>
        <v>18000</v>
      </c>
      <c r="AK11" s="24">
        <f t="shared" si="39"/>
        <v>18000</v>
      </c>
      <c r="AL11" s="24"/>
    </row>
    <row r="12" spans="1:51" x14ac:dyDescent="0.2">
      <c r="B12" s="2" t="s">
        <v>16</v>
      </c>
      <c r="H12" s="10">
        <f>300*12</f>
        <v>3600</v>
      </c>
      <c r="I12" s="10">
        <f t="shared" ref="I12:Q12" si="40">300*12</f>
        <v>3600</v>
      </c>
      <c r="J12" s="10">
        <f t="shared" si="40"/>
        <v>3600</v>
      </c>
      <c r="K12" s="10">
        <f t="shared" si="40"/>
        <v>3600</v>
      </c>
      <c r="L12" s="24">
        <f t="shared" si="40"/>
        <v>3600</v>
      </c>
      <c r="M12" s="24">
        <f t="shared" si="40"/>
        <v>3600</v>
      </c>
      <c r="N12" s="24">
        <f t="shared" si="40"/>
        <v>3600</v>
      </c>
      <c r="O12" s="24">
        <f t="shared" si="40"/>
        <v>3600</v>
      </c>
      <c r="P12" s="24">
        <f t="shared" si="40"/>
        <v>3600</v>
      </c>
      <c r="Q12" s="24">
        <f t="shared" si="40"/>
        <v>3600</v>
      </c>
    </row>
    <row r="13" spans="1:51" x14ac:dyDescent="0.2">
      <c r="B13" s="2" t="s">
        <v>18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500</v>
      </c>
      <c r="N13" s="12">
        <f t="shared" ref="N13:AY13" si="41">N6*N34</f>
        <v>515</v>
      </c>
      <c r="O13" s="12">
        <f t="shared" si="41"/>
        <v>530.45000000000005</v>
      </c>
      <c r="P13" s="12">
        <f t="shared" si="41"/>
        <v>546.36350000000004</v>
      </c>
      <c r="Q13" s="12">
        <f t="shared" si="41"/>
        <v>562.75440500000002</v>
      </c>
      <c r="R13" s="12">
        <f t="shared" si="41"/>
        <v>579.63703714999997</v>
      </c>
      <c r="S13" s="12">
        <f t="shared" si="41"/>
        <v>597.02614826449997</v>
      </c>
      <c r="T13" s="12">
        <f t="shared" si="41"/>
        <v>614.93693271243501</v>
      </c>
      <c r="U13" s="12">
        <f t="shared" si="41"/>
        <v>633.38504069380804</v>
      </c>
      <c r="V13" s="12">
        <f t="shared" si="41"/>
        <v>652.38659191462239</v>
      </c>
      <c r="W13" s="12">
        <f t="shared" si="41"/>
        <v>671.95818967206094</v>
      </c>
      <c r="X13" s="12">
        <f t="shared" si="41"/>
        <v>692.11693536222288</v>
      </c>
      <c r="Y13" s="12">
        <f t="shared" si="41"/>
        <v>712.88044342308956</v>
      </c>
      <c r="Z13" s="12">
        <f t="shared" si="41"/>
        <v>734.2668567257823</v>
      </c>
      <c r="AA13" s="12">
        <f t="shared" si="41"/>
        <v>756.29486242755581</v>
      </c>
      <c r="AB13" s="12">
        <f t="shared" si="41"/>
        <v>778.98370830038243</v>
      </c>
      <c r="AC13" s="12">
        <f t="shared" si="41"/>
        <v>802.353219549394</v>
      </c>
      <c r="AD13" s="12">
        <f t="shared" si="41"/>
        <v>826.42381613587588</v>
      </c>
      <c r="AE13" s="12">
        <f t="shared" si="41"/>
        <v>851.2165306199521</v>
      </c>
      <c r="AF13" s="12">
        <f t="shared" si="41"/>
        <v>876.75302653855067</v>
      </c>
      <c r="AG13" s="12">
        <f t="shared" si="41"/>
        <v>903.05561733470722</v>
      </c>
      <c r="AH13" s="12">
        <f t="shared" si="41"/>
        <v>930.14728585474847</v>
      </c>
      <c r="AI13" s="12">
        <f t="shared" si="41"/>
        <v>958.05170443039094</v>
      </c>
      <c r="AJ13" s="12">
        <f t="shared" si="41"/>
        <v>986.79325556330264</v>
      </c>
      <c r="AK13" s="12">
        <f t="shared" si="41"/>
        <v>1016.3970532302018</v>
      </c>
      <c r="AL13" s="12">
        <f t="shared" si="41"/>
        <v>1046.8889648271079</v>
      </c>
      <c r="AM13" s="12">
        <f t="shared" si="41"/>
        <v>1078.2956337719211</v>
      </c>
      <c r="AN13" s="12">
        <f t="shared" si="41"/>
        <v>1110.6445027850789</v>
      </c>
      <c r="AO13" s="12">
        <f t="shared" si="41"/>
        <v>1143.9638378686313</v>
      </c>
      <c r="AP13" s="12">
        <f t="shared" si="41"/>
        <v>1178.2827530046902</v>
      </c>
      <c r="AQ13" s="12">
        <f t="shared" si="41"/>
        <v>1213.631235594831</v>
      </c>
      <c r="AR13" s="12">
        <f t="shared" si="41"/>
        <v>1250.040172662676</v>
      </c>
      <c r="AS13" s="12">
        <f t="shared" si="41"/>
        <v>1287.5413778425564</v>
      </c>
      <c r="AT13" s="12">
        <f t="shared" si="41"/>
        <v>1326.1676191778331</v>
      </c>
      <c r="AU13" s="12">
        <f t="shared" si="41"/>
        <v>1365.9526477531681</v>
      </c>
      <c r="AV13" s="12">
        <f t="shared" si="41"/>
        <v>1406.9312271857632</v>
      </c>
      <c r="AW13" s="12">
        <f t="shared" si="41"/>
        <v>1449.139164001336</v>
      </c>
      <c r="AX13" s="12">
        <f t="shared" si="41"/>
        <v>1492.6133389213762</v>
      </c>
      <c r="AY13" s="12">
        <f t="shared" si="41"/>
        <v>1537.3917390890176</v>
      </c>
    </row>
    <row r="14" spans="1:51" x14ac:dyDescent="0.2">
      <c r="B14" s="2" t="s">
        <v>19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M6*M35</f>
        <v>9000</v>
      </c>
      <c r="N14" s="12">
        <f t="shared" ref="N14:AY14" si="42">N6*N35</f>
        <v>9270</v>
      </c>
      <c r="O14" s="12">
        <f t="shared" si="42"/>
        <v>9548.1</v>
      </c>
      <c r="P14" s="12">
        <f t="shared" si="42"/>
        <v>9834.5429999999997</v>
      </c>
      <c r="Q14" s="12">
        <f t="shared" si="42"/>
        <v>10129.57929</v>
      </c>
      <c r="R14" s="12">
        <f t="shared" si="42"/>
        <v>10433.466668699999</v>
      </c>
      <c r="S14" s="12">
        <f t="shared" si="42"/>
        <v>10746.470668761</v>
      </c>
      <c r="T14" s="12">
        <f t="shared" si="42"/>
        <v>11068.86478882383</v>
      </c>
      <c r="U14" s="12">
        <f t="shared" si="42"/>
        <v>11400.930732488545</v>
      </c>
      <c r="V14" s="12">
        <f t="shared" si="42"/>
        <v>11742.958654463202</v>
      </c>
      <c r="W14" s="12">
        <f t="shared" si="42"/>
        <v>12095.247414097097</v>
      </c>
      <c r="X14" s="12">
        <f t="shared" si="42"/>
        <v>12458.104836520011</v>
      </c>
      <c r="Y14" s="12">
        <f t="shared" si="42"/>
        <v>12831.847981615612</v>
      </c>
      <c r="Z14" s="12">
        <f t="shared" si="42"/>
        <v>13216.80342106408</v>
      </c>
      <c r="AA14" s="12">
        <f t="shared" si="42"/>
        <v>13613.307523696003</v>
      </c>
      <c r="AB14" s="12">
        <f t="shared" si="42"/>
        <v>14021.706749406883</v>
      </c>
      <c r="AC14" s="12">
        <f t="shared" si="42"/>
        <v>14442.357951889091</v>
      </c>
      <c r="AD14" s="12">
        <f t="shared" si="42"/>
        <v>14875.628690445765</v>
      </c>
      <c r="AE14" s="12">
        <f t="shared" si="42"/>
        <v>15321.897551159138</v>
      </c>
      <c r="AF14" s="12">
        <f t="shared" si="42"/>
        <v>15781.554477693911</v>
      </c>
      <c r="AG14" s="12">
        <f t="shared" si="42"/>
        <v>16255.001112024729</v>
      </c>
      <c r="AH14" s="12">
        <f t="shared" si="42"/>
        <v>16742.651145385473</v>
      </c>
      <c r="AI14" s="12">
        <f t="shared" si="42"/>
        <v>17244.930679747038</v>
      </c>
      <c r="AJ14" s="12">
        <f t="shared" si="42"/>
        <v>17762.278600139449</v>
      </c>
      <c r="AK14" s="12">
        <f t="shared" si="42"/>
        <v>18295.146958143629</v>
      </c>
      <c r="AL14" s="12">
        <f t="shared" si="42"/>
        <v>18844.00136688794</v>
      </c>
      <c r="AM14" s="12">
        <f t="shared" si="42"/>
        <v>19409.321407894578</v>
      </c>
      <c r="AN14" s="12">
        <f t="shared" si="42"/>
        <v>19991.601050131419</v>
      </c>
      <c r="AO14" s="12">
        <f t="shared" si="42"/>
        <v>20591.349081635362</v>
      </c>
      <c r="AP14" s="12">
        <f t="shared" si="42"/>
        <v>21209.089554084421</v>
      </c>
      <c r="AQ14" s="12">
        <f t="shared" si="42"/>
        <v>21845.362240706956</v>
      </c>
      <c r="AR14" s="12">
        <f t="shared" si="42"/>
        <v>22500.723107928166</v>
      </c>
      <c r="AS14" s="12">
        <f t="shared" si="42"/>
        <v>23175.744801166013</v>
      </c>
      <c r="AT14" s="12">
        <f t="shared" si="42"/>
        <v>23871.017145200993</v>
      </c>
      <c r="AU14" s="12">
        <f t="shared" si="42"/>
        <v>24587.147659557024</v>
      </c>
      <c r="AV14" s="12">
        <f t="shared" si="42"/>
        <v>25324.762089343734</v>
      </c>
      <c r="AW14" s="12">
        <f t="shared" si="42"/>
        <v>26084.504952024046</v>
      </c>
      <c r="AX14" s="12">
        <f t="shared" si="42"/>
        <v>26867.040100584771</v>
      </c>
      <c r="AY14" s="12">
        <f t="shared" si="42"/>
        <v>27673.051303602315</v>
      </c>
    </row>
    <row r="15" spans="1:51" x14ac:dyDescent="0.2">
      <c r="B15" s="2" t="s">
        <v>20</v>
      </c>
      <c r="H15" s="10">
        <f>100*12</f>
        <v>1200</v>
      </c>
      <c r="I15" s="10">
        <f t="shared" ref="I15:L15" si="43">100*12</f>
        <v>1200</v>
      </c>
      <c r="J15" s="10">
        <f t="shared" si="43"/>
        <v>1200</v>
      </c>
      <c r="K15" s="10">
        <f t="shared" si="43"/>
        <v>1200</v>
      </c>
      <c r="L15" s="24">
        <f t="shared" si="43"/>
        <v>1200</v>
      </c>
      <c r="M15" s="12">
        <v>1200</v>
      </c>
      <c r="N15" s="12">
        <f>M15</f>
        <v>1200</v>
      </c>
      <c r="O15" s="12">
        <f t="shared" ref="O15:AY15" si="44">N15</f>
        <v>1200</v>
      </c>
      <c r="P15" s="12">
        <f t="shared" si="44"/>
        <v>1200</v>
      </c>
      <c r="Q15" s="12">
        <f t="shared" si="44"/>
        <v>1200</v>
      </c>
      <c r="R15" s="12">
        <f t="shared" si="44"/>
        <v>1200</v>
      </c>
      <c r="S15" s="12">
        <f t="shared" si="44"/>
        <v>1200</v>
      </c>
      <c r="T15" s="12">
        <f t="shared" si="44"/>
        <v>1200</v>
      </c>
      <c r="U15" s="12">
        <f t="shared" si="44"/>
        <v>1200</v>
      </c>
      <c r="V15" s="12">
        <f t="shared" si="44"/>
        <v>1200</v>
      </c>
      <c r="W15" s="12">
        <f t="shared" si="44"/>
        <v>1200</v>
      </c>
      <c r="X15" s="12">
        <f t="shared" si="44"/>
        <v>1200</v>
      </c>
      <c r="Y15" s="12">
        <f t="shared" si="44"/>
        <v>1200</v>
      </c>
      <c r="Z15" s="12">
        <f t="shared" si="44"/>
        <v>1200</v>
      </c>
      <c r="AA15" s="12">
        <f t="shared" si="44"/>
        <v>1200</v>
      </c>
      <c r="AB15" s="12">
        <f t="shared" si="44"/>
        <v>1200</v>
      </c>
      <c r="AC15" s="12">
        <f t="shared" si="44"/>
        <v>1200</v>
      </c>
      <c r="AD15" s="12">
        <f t="shared" si="44"/>
        <v>1200</v>
      </c>
      <c r="AE15" s="12">
        <f t="shared" si="44"/>
        <v>1200</v>
      </c>
      <c r="AF15" s="12">
        <f t="shared" si="44"/>
        <v>1200</v>
      </c>
      <c r="AG15" s="12">
        <f t="shared" si="44"/>
        <v>1200</v>
      </c>
      <c r="AH15" s="12">
        <f t="shared" si="44"/>
        <v>1200</v>
      </c>
      <c r="AI15" s="12">
        <f t="shared" si="44"/>
        <v>1200</v>
      </c>
      <c r="AJ15" s="12">
        <f t="shared" si="44"/>
        <v>1200</v>
      </c>
      <c r="AK15" s="12">
        <f t="shared" si="44"/>
        <v>1200</v>
      </c>
      <c r="AL15" s="12">
        <f t="shared" si="44"/>
        <v>1200</v>
      </c>
      <c r="AM15" s="12">
        <f t="shared" si="44"/>
        <v>1200</v>
      </c>
      <c r="AN15" s="12">
        <f t="shared" si="44"/>
        <v>1200</v>
      </c>
      <c r="AO15" s="12">
        <f t="shared" si="44"/>
        <v>1200</v>
      </c>
      <c r="AP15" s="12">
        <f t="shared" si="44"/>
        <v>1200</v>
      </c>
      <c r="AQ15" s="12">
        <f t="shared" si="44"/>
        <v>1200</v>
      </c>
      <c r="AR15" s="12">
        <f t="shared" si="44"/>
        <v>1200</v>
      </c>
      <c r="AS15" s="12">
        <f t="shared" si="44"/>
        <v>1200</v>
      </c>
      <c r="AT15" s="12">
        <f t="shared" si="44"/>
        <v>1200</v>
      </c>
      <c r="AU15" s="12">
        <f t="shared" si="44"/>
        <v>1200</v>
      </c>
      <c r="AV15" s="12">
        <f t="shared" si="44"/>
        <v>1200</v>
      </c>
      <c r="AW15" s="12">
        <f t="shared" si="44"/>
        <v>1200</v>
      </c>
      <c r="AX15" s="12">
        <f t="shared" si="44"/>
        <v>1200</v>
      </c>
      <c r="AY15" s="12">
        <f t="shared" si="44"/>
        <v>1200</v>
      </c>
    </row>
    <row r="16" spans="1:51" x14ac:dyDescent="0.2">
      <c r="B16" s="2" t="s">
        <v>8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12000</v>
      </c>
      <c r="N16" s="12">
        <f t="shared" ref="N16:AY16" si="45">N37*N6</f>
        <v>12360</v>
      </c>
      <c r="O16" s="12">
        <f t="shared" si="45"/>
        <v>12730.8</v>
      </c>
      <c r="P16" s="12">
        <f t="shared" si="45"/>
        <v>13112.723999999998</v>
      </c>
      <c r="Q16" s="12">
        <f t="shared" si="45"/>
        <v>13506.10572</v>
      </c>
      <c r="R16" s="12">
        <f t="shared" si="45"/>
        <v>13911.288891599999</v>
      </c>
      <c r="S16" s="12">
        <f t="shared" si="45"/>
        <v>14328.627558348</v>
      </c>
      <c r="T16" s="12">
        <f t="shared" si="45"/>
        <v>14758.48638509844</v>
      </c>
      <c r="U16" s="12">
        <f t="shared" si="45"/>
        <v>15201.240976651392</v>
      </c>
      <c r="V16" s="12">
        <f t="shared" si="45"/>
        <v>15657.278205950935</v>
      </c>
      <c r="W16" s="12">
        <f t="shared" si="45"/>
        <v>16126.996552129463</v>
      </c>
      <c r="X16" s="12">
        <f t="shared" si="45"/>
        <v>16610.806448693347</v>
      </c>
      <c r="Y16" s="12">
        <f t="shared" si="45"/>
        <v>17109.130642154149</v>
      </c>
      <c r="Z16" s="12">
        <f t="shared" si="45"/>
        <v>17622.404561418774</v>
      </c>
      <c r="AA16" s="12">
        <f t="shared" si="45"/>
        <v>18151.076698261339</v>
      </c>
      <c r="AB16" s="12">
        <f t="shared" si="45"/>
        <v>18695.608999209177</v>
      </c>
      <c r="AC16" s="12">
        <f t="shared" si="45"/>
        <v>19256.477269185456</v>
      </c>
      <c r="AD16" s="12">
        <f t="shared" si="45"/>
        <v>19834.171587261018</v>
      </c>
      <c r="AE16" s="12">
        <f t="shared" si="45"/>
        <v>20429.196734878849</v>
      </c>
      <c r="AF16" s="12">
        <f t="shared" si="45"/>
        <v>21042.072636925215</v>
      </c>
      <c r="AG16" s="12">
        <f t="shared" si="45"/>
        <v>21673.334816032973</v>
      </c>
      <c r="AH16" s="12">
        <f t="shared" si="45"/>
        <v>22323.534860513962</v>
      </c>
      <c r="AI16" s="12">
        <f t="shared" si="45"/>
        <v>22993.240906329382</v>
      </c>
      <c r="AJ16" s="12">
        <f t="shared" si="45"/>
        <v>23683.038133519261</v>
      </c>
      <c r="AK16" s="12">
        <f t="shared" si="45"/>
        <v>24393.529277524842</v>
      </c>
      <c r="AL16" s="12">
        <f t="shared" si="45"/>
        <v>25125.335155850589</v>
      </c>
      <c r="AM16" s="12">
        <f t="shared" si="45"/>
        <v>25879.095210526106</v>
      </c>
      <c r="AN16" s="12">
        <f t="shared" si="45"/>
        <v>26655.468066841891</v>
      </c>
      <c r="AO16" s="12">
        <f t="shared" si="45"/>
        <v>27455.132108847149</v>
      </c>
      <c r="AP16" s="12">
        <f t="shared" si="45"/>
        <v>28278.786072112562</v>
      </c>
      <c r="AQ16" s="12">
        <f t="shared" si="45"/>
        <v>29127.149654275941</v>
      </c>
      <c r="AR16" s="12">
        <f t="shared" si="45"/>
        <v>30000.964143904221</v>
      </c>
      <c r="AS16" s="12">
        <f t="shared" si="45"/>
        <v>30900.993068221349</v>
      </c>
      <c r="AT16" s="12">
        <f t="shared" si="45"/>
        <v>31828.022860267989</v>
      </c>
      <c r="AU16" s="12">
        <f t="shared" si="45"/>
        <v>32782.863546076034</v>
      </c>
      <c r="AV16" s="12">
        <f t="shared" si="45"/>
        <v>33766.349452458315</v>
      </c>
      <c r="AW16" s="12">
        <f t="shared" si="45"/>
        <v>34779.339936032062</v>
      </c>
      <c r="AX16" s="12">
        <f t="shared" si="45"/>
        <v>35822.720134113028</v>
      </c>
      <c r="AY16" s="12">
        <f t="shared" si="45"/>
        <v>36897.401738136417</v>
      </c>
    </row>
    <row r="17" spans="2:51" x14ac:dyDescent="0.2">
      <c r="H17" s="9"/>
      <c r="I17" s="9"/>
      <c r="J17" s="9"/>
      <c r="K17" s="9"/>
      <c r="L17" s="23"/>
      <c r="M17" s="32"/>
      <c r="N17" s="32"/>
      <c r="O17" s="32"/>
      <c r="P17" s="32"/>
    </row>
    <row r="18" spans="2:51" x14ac:dyDescent="0.2">
      <c r="B18" s="3"/>
      <c r="C18" s="3" t="s">
        <v>12</v>
      </c>
      <c r="H18" s="13">
        <f>SUM(H11:H16)</f>
        <v>33550</v>
      </c>
      <c r="I18" s="13">
        <f t="shared" ref="I18:AY18" si="46">SUM(I11:I16)</f>
        <v>35700</v>
      </c>
      <c r="J18" s="13">
        <f t="shared" si="46"/>
        <v>37850</v>
      </c>
      <c r="K18" s="13">
        <f t="shared" si="46"/>
        <v>40000</v>
      </c>
      <c r="L18" s="13">
        <f t="shared" si="46"/>
        <v>42150</v>
      </c>
      <c r="M18" s="13">
        <f t="shared" si="46"/>
        <v>44300</v>
      </c>
      <c r="N18" s="13">
        <f t="shared" si="46"/>
        <v>44945</v>
      </c>
      <c r="O18" s="13">
        <f t="shared" si="46"/>
        <v>45609.350000000006</v>
      </c>
      <c r="P18" s="13">
        <f t="shared" si="46"/>
        <v>46293.630499999999</v>
      </c>
      <c r="Q18" s="13">
        <f t="shared" si="46"/>
        <v>46998.439415000001</v>
      </c>
      <c r="R18" s="13">
        <f t="shared" si="46"/>
        <v>44124.392597450002</v>
      </c>
      <c r="S18" s="13">
        <f t="shared" si="46"/>
        <v>44872.124375373503</v>
      </c>
      <c r="T18" s="13">
        <f t="shared" si="46"/>
        <v>45642.288106634704</v>
      </c>
      <c r="U18" s="13">
        <f t="shared" si="46"/>
        <v>46435.556749833748</v>
      </c>
      <c r="V18" s="13">
        <f t="shared" si="46"/>
        <v>47252.623452328757</v>
      </c>
      <c r="W18" s="13">
        <f t="shared" si="46"/>
        <v>48094.202155898623</v>
      </c>
      <c r="X18" s="13">
        <f t="shared" si="46"/>
        <v>48961.028220575579</v>
      </c>
      <c r="Y18" s="13">
        <f t="shared" si="46"/>
        <v>49853.859067192854</v>
      </c>
      <c r="Z18" s="13">
        <f t="shared" si="46"/>
        <v>50773.474839208633</v>
      </c>
      <c r="AA18" s="13">
        <f t="shared" si="46"/>
        <v>51720.679084384901</v>
      </c>
      <c r="AB18" s="13">
        <f t="shared" si="46"/>
        <v>52696.299456916444</v>
      </c>
      <c r="AC18" s="13">
        <f t="shared" si="46"/>
        <v>53701.188440623941</v>
      </c>
      <c r="AD18" s="13">
        <f t="shared" si="46"/>
        <v>54736.224093842655</v>
      </c>
      <c r="AE18" s="13">
        <f t="shared" si="46"/>
        <v>55802.310816657933</v>
      </c>
      <c r="AF18" s="13">
        <f t="shared" si="46"/>
        <v>56900.380141157679</v>
      </c>
      <c r="AG18" s="13">
        <f t="shared" si="46"/>
        <v>58031.391545392413</v>
      </c>
      <c r="AH18" s="13">
        <f t="shared" si="46"/>
        <v>59196.333291754185</v>
      </c>
      <c r="AI18" s="13">
        <f t="shared" si="46"/>
        <v>60396.223290506816</v>
      </c>
      <c r="AJ18" s="13">
        <f t="shared" si="46"/>
        <v>61632.109989222008</v>
      </c>
      <c r="AK18" s="13">
        <f t="shared" si="46"/>
        <v>62905.073288898668</v>
      </c>
      <c r="AL18" s="13">
        <f t="shared" si="46"/>
        <v>46216.225487565636</v>
      </c>
      <c r="AM18" s="13">
        <f t="shared" si="46"/>
        <v>47566.712252192607</v>
      </c>
      <c r="AN18" s="13">
        <f t="shared" si="46"/>
        <v>48957.71361975839</v>
      </c>
      <c r="AO18" s="13">
        <f t="shared" si="46"/>
        <v>50390.44502835114</v>
      </c>
      <c r="AP18" s="13">
        <f t="shared" si="46"/>
        <v>51866.158379201675</v>
      </c>
      <c r="AQ18" s="13">
        <f t="shared" si="46"/>
        <v>53386.14313057773</v>
      </c>
      <c r="AR18" s="13">
        <f t="shared" si="46"/>
        <v>54951.727424495068</v>
      </c>
      <c r="AS18" s="13">
        <f t="shared" si="46"/>
        <v>56564.279247229919</v>
      </c>
      <c r="AT18" s="13">
        <f t="shared" si="46"/>
        <v>58225.207624646813</v>
      </c>
      <c r="AU18" s="13">
        <f t="shared" si="46"/>
        <v>59935.963853386231</v>
      </c>
      <c r="AV18" s="13">
        <f t="shared" si="46"/>
        <v>61698.042768987812</v>
      </c>
      <c r="AW18" s="13">
        <f t="shared" si="46"/>
        <v>63512.984052057443</v>
      </c>
      <c r="AX18" s="13">
        <f t="shared" si="46"/>
        <v>65382.373573619174</v>
      </c>
      <c r="AY18" s="13">
        <f t="shared" si="46"/>
        <v>67307.844780827756</v>
      </c>
    </row>
    <row r="19" spans="2:51" x14ac:dyDescent="0.2">
      <c r="H19" s="12"/>
      <c r="I19" s="12"/>
      <c r="J19" s="12"/>
      <c r="K19" s="12"/>
      <c r="L19" s="25"/>
      <c r="M19" s="12"/>
      <c r="N19" s="12"/>
      <c r="O19" s="12"/>
      <c r="P19" s="12"/>
    </row>
    <row r="20" spans="2:51" x14ac:dyDescent="0.2">
      <c r="B20" s="1" t="s">
        <v>13</v>
      </c>
      <c r="C20" s="1"/>
      <c r="D20" s="1"/>
      <c r="E20" s="1"/>
      <c r="F20" s="1"/>
      <c r="G20" s="1"/>
      <c r="H20" s="13">
        <f>H8-H18</f>
        <v>16450</v>
      </c>
      <c r="I20" s="13">
        <f t="shared" ref="I20:AY20" si="47">I8-I18</f>
        <v>24300</v>
      </c>
      <c r="J20" s="13">
        <f t="shared" si="47"/>
        <v>32150</v>
      </c>
      <c r="K20" s="13">
        <f t="shared" si="47"/>
        <v>40000</v>
      </c>
      <c r="L20" s="13">
        <f t="shared" si="47"/>
        <v>47850</v>
      </c>
      <c r="M20" s="13">
        <f t="shared" si="47"/>
        <v>55700</v>
      </c>
      <c r="N20" s="13">
        <f t="shared" si="47"/>
        <v>58055</v>
      </c>
      <c r="O20" s="13">
        <f t="shared" si="47"/>
        <v>60480.649999999994</v>
      </c>
      <c r="P20" s="13">
        <f t="shared" si="47"/>
        <v>62979.069499999998</v>
      </c>
      <c r="Q20" s="13">
        <f t="shared" si="47"/>
        <v>65552.441584999993</v>
      </c>
      <c r="R20" s="13">
        <f t="shared" si="47"/>
        <v>71803.01483254999</v>
      </c>
      <c r="S20" s="13">
        <f t="shared" si="47"/>
        <v>74533.105277526498</v>
      </c>
      <c r="T20" s="13">
        <f t="shared" si="47"/>
        <v>77345.098435852298</v>
      </c>
      <c r="U20" s="13">
        <f t="shared" si="47"/>
        <v>80241.451388927861</v>
      </c>
      <c r="V20" s="13">
        <f t="shared" si="47"/>
        <v>83224.69493059571</v>
      </c>
      <c r="W20" s="13">
        <f t="shared" si="47"/>
        <v>86297.43577851358</v>
      </c>
      <c r="X20" s="13">
        <f t="shared" si="47"/>
        <v>89462.358851868994</v>
      </c>
      <c r="Y20" s="13">
        <f t="shared" si="47"/>
        <v>92722.229617425066</v>
      </c>
      <c r="Z20" s="13">
        <f t="shared" si="47"/>
        <v>96079.896505947821</v>
      </c>
      <c r="AA20" s="13">
        <f t="shared" si="47"/>
        <v>99538.293401126255</v>
      </c>
      <c r="AB20" s="13">
        <f t="shared" si="47"/>
        <v>103100.44220316004</v>
      </c>
      <c r="AC20" s="13">
        <f t="shared" si="47"/>
        <v>106769.45546925486</v>
      </c>
      <c r="AD20" s="13">
        <f t="shared" si="47"/>
        <v>110548.53913333251</v>
      </c>
      <c r="AE20" s="13">
        <f t="shared" si="47"/>
        <v>114440.99530733249</v>
      </c>
      <c r="AF20" s="13">
        <f t="shared" si="47"/>
        <v>118450.22516655244</v>
      </c>
      <c r="AG20" s="13">
        <f t="shared" si="47"/>
        <v>122579.73192154903</v>
      </c>
      <c r="AH20" s="13">
        <f t="shared" si="47"/>
        <v>126833.12387919551</v>
      </c>
      <c r="AI20" s="13">
        <f t="shared" si="47"/>
        <v>131214.11759557138</v>
      </c>
      <c r="AJ20" s="13">
        <f t="shared" si="47"/>
        <v>135726.54112343851</v>
      </c>
      <c r="AK20" s="13">
        <f t="shared" si="47"/>
        <v>140374.33735714166</v>
      </c>
      <c r="AL20" s="13">
        <f t="shared" si="47"/>
        <v>163161.56747785595</v>
      </c>
      <c r="AM20" s="13">
        <f t="shared" si="47"/>
        <v>168092.41450219162</v>
      </c>
      <c r="AN20" s="13">
        <f t="shared" si="47"/>
        <v>173171.18693725736</v>
      </c>
      <c r="AO20" s="13">
        <f t="shared" si="47"/>
        <v>178402.32254537509</v>
      </c>
      <c r="AP20" s="13">
        <f t="shared" si="47"/>
        <v>183790.39222173637</v>
      </c>
      <c r="AQ20" s="13">
        <f t="shared" si="47"/>
        <v>189340.10398838847</v>
      </c>
      <c r="AR20" s="13">
        <f t="shared" si="47"/>
        <v>195056.30710804011</v>
      </c>
      <c r="AS20" s="13">
        <f t="shared" si="47"/>
        <v>200943.99632128133</v>
      </c>
      <c r="AT20" s="13">
        <f t="shared" si="47"/>
        <v>207008.31621091979</v>
      </c>
      <c r="AU20" s="13">
        <f t="shared" si="47"/>
        <v>213254.5656972474</v>
      </c>
      <c r="AV20" s="13">
        <f t="shared" si="47"/>
        <v>219688.2026681648</v>
      </c>
      <c r="AW20" s="13">
        <f t="shared" si="47"/>
        <v>226314.84874820977</v>
      </c>
      <c r="AX20" s="13">
        <f t="shared" si="47"/>
        <v>233140.29421065608</v>
      </c>
      <c r="AY20" s="13">
        <f t="shared" si="47"/>
        <v>240170.50303697574</v>
      </c>
    </row>
    <row r="21" spans="2:51" x14ac:dyDescent="0.2">
      <c r="H21" s="12"/>
      <c r="I21" s="12"/>
      <c r="J21" s="12"/>
      <c r="K21" s="12"/>
      <c r="L21" s="25"/>
      <c r="M21" s="12"/>
      <c r="N21" s="12"/>
      <c r="O21" s="12"/>
      <c r="P21" s="12"/>
    </row>
    <row r="22" spans="2:51" x14ac:dyDescent="0.2">
      <c r="B22" s="2" t="s">
        <v>0</v>
      </c>
      <c r="H22" s="10">
        <f>28%*H6</f>
        <v>14000.000000000002</v>
      </c>
      <c r="I22" s="10">
        <f t="shared" ref="I22:L22" si="48">28%*I6</f>
        <v>16800</v>
      </c>
      <c r="J22" s="10">
        <f t="shared" si="48"/>
        <v>19600.000000000004</v>
      </c>
      <c r="K22" s="10">
        <f t="shared" si="48"/>
        <v>22400.000000000004</v>
      </c>
      <c r="L22" s="24">
        <f t="shared" si="48"/>
        <v>25200.000000000004</v>
      </c>
      <c r="M22" s="12">
        <f>M38*M6</f>
        <v>28000.000000000004</v>
      </c>
      <c r="N22" s="12">
        <f t="shared" ref="N22:AY22" si="49">N38*N6</f>
        <v>28840.000000000004</v>
      </c>
      <c r="O22" s="12">
        <f t="shared" si="49"/>
        <v>29705.200000000004</v>
      </c>
      <c r="P22" s="12">
        <f t="shared" si="49"/>
        <v>30596.356000000003</v>
      </c>
      <c r="Q22" s="12">
        <f t="shared" si="49"/>
        <v>31514.24668</v>
      </c>
      <c r="R22" s="12">
        <f t="shared" si="49"/>
        <v>32459.6740804</v>
      </c>
      <c r="S22" s="12">
        <f t="shared" si="49"/>
        <v>33433.464302812004</v>
      </c>
      <c r="T22" s="12">
        <f t="shared" si="49"/>
        <v>34436.468231896361</v>
      </c>
      <c r="U22" s="12">
        <f t="shared" si="49"/>
        <v>35469.562278853256</v>
      </c>
      <c r="V22" s="12">
        <f t="shared" si="49"/>
        <v>36533.649147218857</v>
      </c>
      <c r="W22" s="12">
        <f t="shared" si="49"/>
        <v>37629.658621635419</v>
      </c>
      <c r="X22" s="12">
        <f t="shared" si="49"/>
        <v>38758.548380284483</v>
      </c>
      <c r="Y22" s="12">
        <f t="shared" si="49"/>
        <v>39921.304831693022</v>
      </c>
      <c r="Z22" s="12">
        <f t="shared" si="49"/>
        <v>41118.943976643808</v>
      </c>
      <c r="AA22" s="12">
        <f t="shared" si="49"/>
        <v>42352.512295943125</v>
      </c>
      <c r="AB22" s="12">
        <f t="shared" si="49"/>
        <v>43623.087664821418</v>
      </c>
      <c r="AC22" s="12">
        <f t="shared" si="49"/>
        <v>44931.780294766068</v>
      </c>
      <c r="AD22" s="12">
        <f t="shared" si="49"/>
        <v>46279.733703609054</v>
      </c>
      <c r="AE22" s="12">
        <f t="shared" si="49"/>
        <v>47668.125714717324</v>
      </c>
      <c r="AF22" s="12">
        <f t="shared" si="49"/>
        <v>49098.16948615884</v>
      </c>
      <c r="AG22" s="12">
        <f t="shared" si="49"/>
        <v>50571.114570743608</v>
      </c>
      <c r="AH22" s="12">
        <f t="shared" si="49"/>
        <v>52088.248007865921</v>
      </c>
      <c r="AI22" s="12">
        <f t="shared" si="49"/>
        <v>53650.895448101903</v>
      </c>
      <c r="AJ22" s="12">
        <f t="shared" si="49"/>
        <v>55260.422311544957</v>
      </c>
      <c r="AK22" s="12">
        <f t="shared" si="49"/>
        <v>56918.234980891299</v>
      </c>
      <c r="AL22" s="12">
        <f t="shared" si="49"/>
        <v>58625.782030318042</v>
      </c>
      <c r="AM22" s="12">
        <f t="shared" si="49"/>
        <v>60384.555491227591</v>
      </c>
      <c r="AN22" s="12">
        <f t="shared" si="49"/>
        <v>62196.092155964419</v>
      </c>
      <c r="AO22" s="12">
        <f t="shared" si="49"/>
        <v>64061.974920643355</v>
      </c>
      <c r="AP22" s="12">
        <f t="shared" si="49"/>
        <v>65983.834168262649</v>
      </c>
      <c r="AQ22" s="12">
        <f t="shared" si="49"/>
        <v>67963.34919331054</v>
      </c>
      <c r="AR22" s="12">
        <f t="shared" si="49"/>
        <v>70002.249669109864</v>
      </c>
      <c r="AS22" s="12">
        <f t="shared" si="49"/>
        <v>72102.317159183163</v>
      </c>
      <c r="AT22" s="12">
        <f t="shared" si="49"/>
        <v>74265.386673958652</v>
      </c>
      <c r="AU22" s="12">
        <f t="shared" si="49"/>
        <v>76493.348274177421</v>
      </c>
      <c r="AV22" s="12">
        <f t="shared" si="49"/>
        <v>78788.148722402737</v>
      </c>
      <c r="AW22" s="12">
        <f t="shared" si="49"/>
        <v>81151.793184074821</v>
      </c>
      <c r="AX22" s="12">
        <f t="shared" si="49"/>
        <v>83586.346979597074</v>
      </c>
      <c r="AY22" s="12">
        <f t="shared" si="49"/>
        <v>86093.937388984981</v>
      </c>
    </row>
    <row r="23" spans="2:51" x14ac:dyDescent="0.2">
      <c r="H23" s="43"/>
      <c r="I23" s="12"/>
      <c r="J23" s="12"/>
      <c r="K23" s="12"/>
      <c r="L23" s="25"/>
      <c r="M23" s="12"/>
      <c r="N23" s="12"/>
      <c r="O23" s="12"/>
      <c r="P23" s="12"/>
    </row>
    <row r="24" spans="2:51" x14ac:dyDescent="0.2">
      <c r="B24" s="1" t="s">
        <v>3</v>
      </c>
      <c r="C24" s="1"/>
      <c r="D24" s="1"/>
      <c r="E24" s="1"/>
      <c r="F24" s="1"/>
      <c r="G24" s="1"/>
      <c r="H24" s="36">
        <f>H20-H22</f>
        <v>2449.9999999999982</v>
      </c>
      <c r="I24" s="36">
        <f t="shared" ref="I24:AY24" si="50">I20-I22</f>
        <v>7500</v>
      </c>
      <c r="J24" s="36">
        <f t="shared" si="50"/>
        <v>12549.999999999996</v>
      </c>
      <c r="K24" s="36">
        <f t="shared" si="50"/>
        <v>17599.999999999996</v>
      </c>
      <c r="L24" s="36">
        <f t="shared" si="50"/>
        <v>22649.999999999996</v>
      </c>
      <c r="M24" s="36">
        <f t="shared" si="50"/>
        <v>27699.999999999996</v>
      </c>
      <c r="N24" s="36">
        <f t="shared" si="50"/>
        <v>29214.999999999996</v>
      </c>
      <c r="O24" s="36">
        <f t="shared" si="50"/>
        <v>30775.44999999999</v>
      </c>
      <c r="P24" s="36">
        <f t="shared" si="50"/>
        <v>32382.713499999994</v>
      </c>
      <c r="Q24" s="36">
        <f t="shared" si="50"/>
        <v>34038.194904999997</v>
      </c>
      <c r="R24" s="36">
        <f t="shared" si="50"/>
        <v>39343.34075214999</v>
      </c>
      <c r="S24" s="36">
        <f t="shared" si="50"/>
        <v>41099.640974714493</v>
      </c>
      <c r="T24" s="36">
        <f t="shared" si="50"/>
        <v>42908.630203955938</v>
      </c>
      <c r="U24" s="36">
        <f t="shared" si="50"/>
        <v>44771.889110074604</v>
      </c>
      <c r="V24" s="36">
        <f t="shared" si="50"/>
        <v>46691.045783376852</v>
      </c>
      <c r="W24" s="36">
        <f t="shared" si="50"/>
        <v>48667.777156878161</v>
      </c>
      <c r="X24" s="36">
        <f t="shared" si="50"/>
        <v>50703.810471584511</v>
      </c>
      <c r="Y24" s="36">
        <f t="shared" si="50"/>
        <v>52800.924785732044</v>
      </c>
      <c r="Z24" s="36">
        <f t="shared" si="50"/>
        <v>54960.952529304013</v>
      </c>
      <c r="AA24" s="36">
        <f t="shared" si="50"/>
        <v>57185.78110518313</v>
      </c>
      <c r="AB24" s="36">
        <f t="shared" si="50"/>
        <v>59477.354538338623</v>
      </c>
      <c r="AC24" s="36">
        <f t="shared" si="50"/>
        <v>61837.675174488788</v>
      </c>
      <c r="AD24" s="36">
        <f t="shared" si="50"/>
        <v>64268.805429723456</v>
      </c>
      <c r="AE24" s="36">
        <f t="shared" si="50"/>
        <v>66772.86959261517</v>
      </c>
      <c r="AF24" s="36">
        <f t="shared" si="50"/>
        <v>69352.055680393591</v>
      </c>
      <c r="AG24" s="36">
        <f t="shared" si="50"/>
        <v>72008.61735080542</v>
      </c>
      <c r="AH24" s="36">
        <f t="shared" si="50"/>
        <v>74744.875871329597</v>
      </c>
      <c r="AI24" s="36">
        <f t="shared" si="50"/>
        <v>77563.222147469482</v>
      </c>
      <c r="AJ24" s="36">
        <f t="shared" si="50"/>
        <v>80466.118811893553</v>
      </c>
      <c r="AK24" s="36">
        <f t="shared" si="50"/>
        <v>83456.102376250361</v>
      </c>
      <c r="AL24" s="36">
        <f t="shared" si="50"/>
        <v>104535.7854475379</v>
      </c>
      <c r="AM24" s="36">
        <f t="shared" si="50"/>
        <v>107707.85901096402</v>
      </c>
      <c r="AN24" s="36">
        <f t="shared" si="50"/>
        <v>110975.09478129294</v>
      </c>
      <c r="AO24" s="36">
        <f t="shared" si="50"/>
        <v>114340.34762473174</v>
      </c>
      <c r="AP24" s="36">
        <f t="shared" si="50"/>
        <v>117806.55805347372</v>
      </c>
      <c r="AQ24" s="36">
        <f t="shared" si="50"/>
        <v>121376.75479507793</v>
      </c>
      <c r="AR24" s="36">
        <f t="shared" si="50"/>
        <v>125054.05743893025</v>
      </c>
      <c r="AS24" s="36">
        <f t="shared" si="50"/>
        <v>128841.67916209817</v>
      </c>
      <c r="AT24" s="36">
        <f t="shared" si="50"/>
        <v>132742.92953696114</v>
      </c>
      <c r="AU24" s="36">
        <f t="shared" si="50"/>
        <v>136761.21742306999</v>
      </c>
      <c r="AV24" s="36">
        <f t="shared" si="50"/>
        <v>140900.05394576205</v>
      </c>
      <c r="AW24" s="36">
        <f t="shared" si="50"/>
        <v>145163.05556413496</v>
      </c>
      <c r="AX24" s="36">
        <f t="shared" si="50"/>
        <v>149553.94723105902</v>
      </c>
      <c r="AY24" s="36">
        <f t="shared" si="50"/>
        <v>154076.56564799076</v>
      </c>
    </row>
    <row r="25" spans="2:51" x14ac:dyDescent="0.2">
      <c r="L25" s="26"/>
    </row>
    <row r="26" spans="2:51" x14ac:dyDescent="0.2">
      <c r="B26" s="2" t="s">
        <v>30</v>
      </c>
      <c r="H26" s="10">
        <v>2449.9999999999982</v>
      </c>
      <c r="I26" s="10">
        <v>9974.4999999999982</v>
      </c>
      <c r="J26" s="10">
        <v>22624.244999999995</v>
      </c>
      <c r="K26" s="10">
        <v>40450.487449999993</v>
      </c>
      <c r="L26" s="24">
        <v>63504.992324499995</v>
      </c>
      <c r="M26" s="8">
        <f>L26*(1+M39)+M24</f>
        <v>91840.04224774499</v>
      </c>
      <c r="N26" s="8">
        <f t="shared" ref="N26:AY26" si="51">M26*(1+N39)+N24</f>
        <v>121973.44267022244</v>
      </c>
      <c r="O26" s="8">
        <f t="shared" si="51"/>
        <v>153968.62709692467</v>
      </c>
      <c r="P26" s="8">
        <f t="shared" si="51"/>
        <v>187891.0268678939</v>
      </c>
      <c r="Q26" s="8">
        <f t="shared" si="51"/>
        <v>223808.13204157283</v>
      </c>
      <c r="R26" s="8">
        <f t="shared" si="51"/>
        <v>265389.55411413853</v>
      </c>
      <c r="S26" s="8">
        <f t="shared" si="51"/>
        <v>309143.0906299944</v>
      </c>
      <c r="T26" s="8">
        <f t="shared" si="51"/>
        <v>355143.15174025029</v>
      </c>
      <c r="U26" s="8">
        <f t="shared" si="51"/>
        <v>403466.47236772743</v>
      </c>
      <c r="V26" s="8">
        <f t="shared" si="51"/>
        <v>454192.18287478155</v>
      </c>
      <c r="W26" s="8">
        <f t="shared" si="51"/>
        <v>507401.88186040753</v>
      </c>
      <c r="X26" s="8">
        <f t="shared" si="51"/>
        <v>563179.71115059615</v>
      </c>
      <c r="Y26" s="8">
        <f t="shared" si="51"/>
        <v>621612.4330478342</v>
      </c>
      <c r="Z26" s="8">
        <f t="shared" si="51"/>
        <v>682789.50990761654</v>
      </c>
      <c r="AA26" s="8">
        <f t="shared" si="51"/>
        <v>746803.18611187593</v>
      </c>
      <c r="AB26" s="8">
        <f t="shared" si="51"/>
        <v>813748.57251133327</v>
      </c>
      <c r="AC26" s="8">
        <f t="shared" si="51"/>
        <v>883723.73341093538</v>
      </c>
      <c r="AD26" s="8">
        <f t="shared" si="51"/>
        <v>956829.77617476822</v>
      </c>
      <c r="AE26" s="8">
        <f t="shared" si="51"/>
        <v>1033170.9435291311</v>
      </c>
      <c r="AF26" s="8">
        <f t="shared" si="51"/>
        <v>1112854.7086448162</v>
      </c>
      <c r="AG26" s="8">
        <f t="shared" si="51"/>
        <v>1195991.8730820697</v>
      </c>
      <c r="AH26" s="8">
        <f t="shared" si="51"/>
        <v>1282696.66768422</v>
      </c>
      <c r="AI26" s="8">
        <f t="shared" si="51"/>
        <v>1373086.8565085316</v>
      </c>
      <c r="AJ26" s="8">
        <f t="shared" si="51"/>
        <v>1467283.8438855105</v>
      </c>
      <c r="AK26" s="8">
        <f t="shared" si="51"/>
        <v>1565412.7847006158</v>
      </c>
      <c r="AL26" s="8">
        <f t="shared" si="51"/>
        <v>1685602.6979951598</v>
      </c>
      <c r="AM26" s="8">
        <f t="shared" si="51"/>
        <v>1810166.5839860754</v>
      </c>
      <c r="AN26" s="8">
        <f t="shared" si="51"/>
        <v>1939243.3446072289</v>
      </c>
      <c r="AO26" s="8">
        <f t="shared" si="51"/>
        <v>2072976.1256780329</v>
      </c>
      <c r="AP26" s="8">
        <f t="shared" si="51"/>
        <v>2211512.4449882871</v>
      </c>
      <c r="AQ26" s="8">
        <f t="shared" si="51"/>
        <v>2355004.3242332479</v>
      </c>
      <c r="AR26" s="8">
        <f t="shared" si="51"/>
        <v>2503608.4249145105</v>
      </c>
      <c r="AS26" s="8">
        <f t="shared" si="51"/>
        <v>2657486.1883257539</v>
      </c>
      <c r="AT26" s="8">
        <f t="shared" si="51"/>
        <v>2816803.9797459724</v>
      </c>
      <c r="AU26" s="8">
        <f t="shared" si="51"/>
        <v>2981733.2369665019</v>
      </c>
      <c r="AV26" s="8">
        <f t="shared" si="51"/>
        <v>3152450.6232819292</v>
      </c>
      <c r="AW26" s="8">
        <f t="shared" si="51"/>
        <v>3329138.1850788835</v>
      </c>
      <c r="AX26" s="8">
        <f t="shared" si="51"/>
        <v>3511983.5141607313</v>
      </c>
      <c r="AY26" s="45">
        <f t="shared" si="51"/>
        <v>3701179.9149503298</v>
      </c>
    </row>
    <row r="27" spans="2:51" x14ac:dyDescent="0.2">
      <c r="I27" s="44"/>
      <c r="L27" s="21"/>
    </row>
    <row r="28" spans="2:51" x14ac:dyDescent="0.2">
      <c r="L28" s="21"/>
    </row>
    <row r="29" spans="2:51" x14ac:dyDescent="0.2">
      <c r="B29" s="5" t="s">
        <v>14</v>
      </c>
      <c r="L29" s="21"/>
    </row>
    <row r="30" spans="2:51" x14ac:dyDescent="0.2">
      <c r="L30" s="21"/>
    </row>
    <row r="31" spans="2:51" x14ac:dyDescent="0.2">
      <c r="C31" s="2" t="s">
        <v>21</v>
      </c>
      <c r="H31" s="37"/>
      <c r="I31" s="11">
        <f>(I6-H6)/H6</f>
        <v>0.2</v>
      </c>
      <c r="J31" s="11">
        <f t="shared" ref="J31:M31" si="52">(J6-I6)/I6</f>
        <v>0.16666666666666666</v>
      </c>
      <c r="K31" s="11">
        <f t="shared" si="52"/>
        <v>0.14285714285714285</v>
      </c>
      <c r="L31" s="11">
        <f t="shared" si="52"/>
        <v>0.125</v>
      </c>
      <c r="M31" s="11">
        <f t="shared" si="52"/>
        <v>0.1111111111111111</v>
      </c>
      <c r="N31" s="41">
        <v>0.03</v>
      </c>
      <c r="O31" s="42">
        <f>N31</f>
        <v>0.03</v>
      </c>
      <c r="P31" s="42">
        <f t="shared" ref="P31:AY31" si="53">O31</f>
        <v>0.03</v>
      </c>
      <c r="Q31" s="42">
        <f t="shared" si="53"/>
        <v>0.03</v>
      </c>
      <c r="R31" s="42">
        <f t="shared" si="53"/>
        <v>0.03</v>
      </c>
      <c r="S31" s="42">
        <f t="shared" si="53"/>
        <v>0.03</v>
      </c>
      <c r="T31" s="42">
        <f t="shared" si="53"/>
        <v>0.03</v>
      </c>
      <c r="U31" s="42">
        <f t="shared" si="53"/>
        <v>0.03</v>
      </c>
      <c r="V31" s="42">
        <f t="shared" si="53"/>
        <v>0.03</v>
      </c>
      <c r="W31" s="42">
        <f t="shared" si="53"/>
        <v>0.03</v>
      </c>
      <c r="X31" s="42">
        <f t="shared" si="53"/>
        <v>0.03</v>
      </c>
      <c r="Y31" s="42">
        <f t="shared" si="53"/>
        <v>0.03</v>
      </c>
      <c r="Z31" s="42">
        <f t="shared" si="53"/>
        <v>0.03</v>
      </c>
      <c r="AA31" s="42">
        <f t="shared" si="53"/>
        <v>0.03</v>
      </c>
      <c r="AB31" s="42">
        <f t="shared" si="53"/>
        <v>0.03</v>
      </c>
      <c r="AC31" s="42">
        <f t="shared" si="53"/>
        <v>0.03</v>
      </c>
      <c r="AD31" s="42">
        <f t="shared" si="53"/>
        <v>0.03</v>
      </c>
      <c r="AE31" s="42">
        <f t="shared" si="53"/>
        <v>0.03</v>
      </c>
      <c r="AF31" s="42">
        <f t="shared" si="53"/>
        <v>0.03</v>
      </c>
      <c r="AG31" s="42">
        <f t="shared" si="53"/>
        <v>0.03</v>
      </c>
      <c r="AH31" s="42">
        <f t="shared" si="53"/>
        <v>0.03</v>
      </c>
      <c r="AI31" s="42">
        <f t="shared" si="53"/>
        <v>0.03</v>
      </c>
      <c r="AJ31" s="42">
        <f t="shared" si="53"/>
        <v>0.03</v>
      </c>
      <c r="AK31" s="42">
        <f t="shared" si="53"/>
        <v>0.03</v>
      </c>
      <c r="AL31" s="42">
        <f t="shared" si="53"/>
        <v>0.03</v>
      </c>
      <c r="AM31" s="42">
        <f t="shared" si="53"/>
        <v>0.03</v>
      </c>
      <c r="AN31" s="42">
        <f t="shared" si="53"/>
        <v>0.03</v>
      </c>
      <c r="AO31" s="42">
        <f t="shared" si="53"/>
        <v>0.03</v>
      </c>
      <c r="AP31" s="42">
        <f t="shared" si="53"/>
        <v>0.03</v>
      </c>
      <c r="AQ31" s="42">
        <f t="shared" si="53"/>
        <v>0.03</v>
      </c>
      <c r="AR31" s="42">
        <f t="shared" si="53"/>
        <v>0.03</v>
      </c>
      <c r="AS31" s="42">
        <f t="shared" si="53"/>
        <v>0.03</v>
      </c>
      <c r="AT31" s="42">
        <f t="shared" si="53"/>
        <v>0.03</v>
      </c>
      <c r="AU31" s="42">
        <f t="shared" si="53"/>
        <v>0.03</v>
      </c>
      <c r="AV31" s="42">
        <f t="shared" si="53"/>
        <v>0.03</v>
      </c>
      <c r="AW31" s="42">
        <f t="shared" si="53"/>
        <v>0.03</v>
      </c>
      <c r="AX31" s="42">
        <f t="shared" si="53"/>
        <v>0.03</v>
      </c>
      <c r="AY31" s="42">
        <f t="shared" si="53"/>
        <v>0.03</v>
      </c>
    </row>
    <row r="32" spans="2:51" x14ac:dyDescent="0.2">
      <c r="C32" s="2" t="s">
        <v>23</v>
      </c>
      <c r="H32" s="11">
        <f>H11/H6</f>
        <v>0.36</v>
      </c>
      <c r="I32" s="11">
        <f t="shared" ref="I32:L32" si="54">I11/I6</f>
        <v>0.3</v>
      </c>
      <c r="J32" s="11">
        <f t="shared" si="54"/>
        <v>0.25714285714285712</v>
      </c>
      <c r="K32" s="11">
        <f t="shared" si="54"/>
        <v>0.22500000000000001</v>
      </c>
      <c r="L32" s="11">
        <f t="shared" si="54"/>
        <v>0.2</v>
      </c>
      <c r="M32" s="2" t="s">
        <v>31</v>
      </c>
    </row>
    <row r="33" spans="3:51" x14ac:dyDescent="0.2">
      <c r="C33" s="2" t="s">
        <v>22</v>
      </c>
      <c r="H33" s="11">
        <f>H12/H6</f>
        <v>7.1999999999999995E-2</v>
      </c>
      <c r="I33" s="11">
        <f t="shared" ref="I33:L33" si="55">I12/I6</f>
        <v>0.06</v>
      </c>
      <c r="J33" s="11">
        <f t="shared" si="55"/>
        <v>5.1428571428571428E-2</v>
      </c>
      <c r="K33" s="11">
        <f t="shared" si="55"/>
        <v>4.4999999999999998E-2</v>
      </c>
      <c r="L33" s="11">
        <f t="shared" si="55"/>
        <v>0.04</v>
      </c>
      <c r="M33" s="2" t="s">
        <v>31</v>
      </c>
    </row>
    <row r="34" spans="3:51" x14ac:dyDescent="0.2">
      <c r="C34" s="2" t="s">
        <v>24</v>
      </c>
      <c r="H34" s="11">
        <f>H13/H6</f>
        <v>5.0000000000000001E-3</v>
      </c>
      <c r="I34" s="11">
        <f t="shared" ref="I34:L34" si="56">I13/I6</f>
        <v>5.0000000000000001E-3</v>
      </c>
      <c r="J34" s="11">
        <f t="shared" si="56"/>
        <v>5.0000000000000001E-3</v>
      </c>
      <c r="K34" s="11">
        <f t="shared" si="56"/>
        <v>5.0000000000000001E-3</v>
      </c>
      <c r="L34" s="11">
        <f t="shared" si="56"/>
        <v>5.0000000000000001E-3</v>
      </c>
      <c r="M34" s="41">
        <v>5.0000000000000001E-3</v>
      </c>
      <c r="N34" s="41">
        <v>5.0000000000000001E-3</v>
      </c>
      <c r="O34" s="41">
        <v>5.0000000000000001E-3</v>
      </c>
      <c r="P34" s="41">
        <v>5.0000000000000001E-3</v>
      </c>
      <c r="Q34" s="41">
        <v>5.0000000000000001E-3</v>
      </c>
      <c r="R34" s="41">
        <v>5.0000000000000001E-3</v>
      </c>
      <c r="S34" s="41">
        <v>5.0000000000000001E-3</v>
      </c>
      <c r="T34" s="41">
        <v>5.0000000000000001E-3</v>
      </c>
      <c r="U34" s="41">
        <v>5.0000000000000001E-3</v>
      </c>
      <c r="V34" s="41">
        <v>5.0000000000000001E-3</v>
      </c>
      <c r="W34" s="41">
        <v>5.0000000000000001E-3</v>
      </c>
      <c r="X34" s="41">
        <v>5.0000000000000001E-3</v>
      </c>
      <c r="Y34" s="41">
        <v>5.0000000000000001E-3</v>
      </c>
      <c r="Z34" s="41">
        <v>5.0000000000000001E-3</v>
      </c>
      <c r="AA34" s="41">
        <v>5.0000000000000001E-3</v>
      </c>
      <c r="AB34" s="41">
        <v>5.0000000000000001E-3</v>
      </c>
      <c r="AC34" s="41">
        <v>5.0000000000000001E-3</v>
      </c>
      <c r="AD34" s="41">
        <v>5.0000000000000001E-3</v>
      </c>
      <c r="AE34" s="41">
        <v>5.0000000000000001E-3</v>
      </c>
      <c r="AF34" s="41">
        <v>5.0000000000000001E-3</v>
      </c>
      <c r="AG34" s="41">
        <v>5.0000000000000001E-3</v>
      </c>
      <c r="AH34" s="41">
        <v>5.0000000000000001E-3</v>
      </c>
      <c r="AI34" s="41">
        <v>5.0000000000000001E-3</v>
      </c>
      <c r="AJ34" s="41">
        <v>5.0000000000000001E-3</v>
      </c>
      <c r="AK34" s="41">
        <v>5.0000000000000001E-3</v>
      </c>
      <c r="AL34" s="41">
        <v>5.0000000000000001E-3</v>
      </c>
      <c r="AM34" s="41">
        <v>5.0000000000000001E-3</v>
      </c>
      <c r="AN34" s="41">
        <v>5.0000000000000001E-3</v>
      </c>
      <c r="AO34" s="41">
        <v>5.0000000000000001E-3</v>
      </c>
      <c r="AP34" s="41">
        <v>5.0000000000000001E-3</v>
      </c>
      <c r="AQ34" s="41">
        <v>5.0000000000000001E-3</v>
      </c>
      <c r="AR34" s="41">
        <v>5.0000000000000001E-3</v>
      </c>
      <c r="AS34" s="41">
        <v>5.0000000000000001E-3</v>
      </c>
      <c r="AT34" s="41">
        <v>5.0000000000000001E-3</v>
      </c>
      <c r="AU34" s="41">
        <v>5.0000000000000001E-3</v>
      </c>
      <c r="AV34" s="41">
        <v>5.0000000000000001E-3</v>
      </c>
      <c r="AW34" s="41">
        <v>5.0000000000000001E-3</v>
      </c>
      <c r="AX34" s="41">
        <v>5.0000000000000001E-3</v>
      </c>
      <c r="AY34" s="41">
        <v>5.0000000000000001E-3</v>
      </c>
    </row>
    <row r="35" spans="3:51" x14ac:dyDescent="0.2">
      <c r="C35" s="2" t="s">
        <v>25</v>
      </c>
      <c r="H35" s="11">
        <f>H14/H6</f>
        <v>0.09</v>
      </c>
      <c r="I35" s="11">
        <f t="shared" ref="I35:L35" si="57">I14/I6</f>
        <v>0.09</v>
      </c>
      <c r="J35" s="11">
        <f t="shared" si="57"/>
        <v>0.09</v>
      </c>
      <c r="K35" s="11">
        <f t="shared" si="57"/>
        <v>0.09</v>
      </c>
      <c r="L35" s="11">
        <f t="shared" si="57"/>
        <v>0.09</v>
      </c>
      <c r="M35" s="41">
        <v>0.09</v>
      </c>
      <c r="N35" s="41">
        <v>0.09</v>
      </c>
      <c r="O35" s="41">
        <v>0.09</v>
      </c>
      <c r="P35" s="41">
        <v>0.09</v>
      </c>
      <c r="Q35" s="41">
        <v>0.09</v>
      </c>
      <c r="R35" s="41">
        <v>0.09</v>
      </c>
      <c r="S35" s="41">
        <v>0.09</v>
      </c>
      <c r="T35" s="41">
        <v>0.09</v>
      </c>
      <c r="U35" s="41">
        <v>0.09</v>
      </c>
      <c r="V35" s="41">
        <v>0.09</v>
      </c>
      <c r="W35" s="41">
        <v>0.09</v>
      </c>
      <c r="X35" s="41">
        <v>0.09</v>
      </c>
      <c r="Y35" s="41">
        <v>0.09</v>
      </c>
      <c r="Z35" s="41">
        <v>0.09</v>
      </c>
      <c r="AA35" s="41">
        <v>0.09</v>
      </c>
      <c r="AB35" s="41">
        <v>0.09</v>
      </c>
      <c r="AC35" s="41">
        <v>0.09</v>
      </c>
      <c r="AD35" s="41">
        <v>0.09</v>
      </c>
      <c r="AE35" s="41">
        <v>0.09</v>
      </c>
      <c r="AF35" s="41">
        <v>0.09</v>
      </c>
      <c r="AG35" s="41">
        <v>0.09</v>
      </c>
      <c r="AH35" s="41">
        <v>0.09</v>
      </c>
      <c r="AI35" s="41">
        <v>0.09</v>
      </c>
      <c r="AJ35" s="41">
        <v>0.09</v>
      </c>
      <c r="AK35" s="41">
        <v>0.09</v>
      </c>
      <c r="AL35" s="41">
        <v>0.09</v>
      </c>
      <c r="AM35" s="41">
        <v>0.09</v>
      </c>
      <c r="AN35" s="41">
        <v>0.09</v>
      </c>
      <c r="AO35" s="41">
        <v>0.09</v>
      </c>
      <c r="AP35" s="41">
        <v>0.09</v>
      </c>
      <c r="AQ35" s="41">
        <v>0.09</v>
      </c>
      <c r="AR35" s="41">
        <v>0.09</v>
      </c>
      <c r="AS35" s="41">
        <v>0.09</v>
      </c>
      <c r="AT35" s="41">
        <v>0.09</v>
      </c>
      <c r="AU35" s="41">
        <v>0.09</v>
      </c>
      <c r="AV35" s="41">
        <v>0.09</v>
      </c>
      <c r="AW35" s="41">
        <v>0.09</v>
      </c>
      <c r="AX35" s="41">
        <v>0.09</v>
      </c>
      <c r="AY35" s="41">
        <v>0.09</v>
      </c>
    </row>
    <row r="36" spans="3:51" x14ac:dyDescent="0.2">
      <c r="C36" s="2" t="s">
        <v>26</v>
      </c>
      <c r="H36" s="11">
        <f>H15/H6</f>
        <v>2.4E-2</v>
      </c>
      <c r="I36" s="11">
        <f t="shared" ref="I36:L36" si="58">I15/I6</f>
        <v>0.02</v>
      </c>
      <c r="J36" s="11">
        <f t="shared" si="58"/>
        <v>1.7142857142857144E-2</v>
      </c>
      <c r="K36" s="11">
        <f t="shared" si="58"/>
        <v>1.4999999999999999E-2</v>
      </c>
      <c r="L36" s="11">
        <f t="shared" si="58"/>
        <v>1.3333333333333334E-2</v>
      </c>
      <c r="M36" s="2" t="s">
        <v>31</v>
      </c>
    </row>
    <row r="37" spans="3:51" x14ac:dyDescent="0.2">
      <c r="C37" s="2" t="s">
        <v>27</v>
      </c>
      <c r="H37" s="11">
        <f>H16/H6</f>
        <v>0.12</v>
      </c>
      <c r="I37" s="11">
        <f t="shared" ref="I37:L37" si="59">I16/I6</f>
        <v>0.12</v>
      </c>
      <c r="J37" s="11">
        <f t="shared" si="59"/>
        <v>0.12</v>
      </c>
      <c r="K37" s="11">
        <f t="shared" si="59"/>
        <v>0.12</v>
      </c>
      <c r="L37" s="11">
        <f t="shared" si="59"/>
        <v>0.12</v>
      </c>
      <c r="M37" s="41">
        <v>0.12</v>
      </c>
      <c r="N37" s="41">
        <v>0.12</v>
      </c>
      <c r="O37" s="41">
        <v>0.12</v>
      </c>
      <c r="P37" s="41">
        <v>0.12</v>
      </c>
      <c r="Q37" s="41">
        <v>0.12</v>
      </c>
      <c r="R37" s="41">
        <v>0.12</v>
      </c>
      <c r="S37" s="41">
        <v>0.12</v>
      </c>
      <c r="T37" s="41">
        <v>0.12</v>
      </c>
      <c r="U37" s="41">
        <v>0.12</v>
      </c>
      <c r="V37" s="41">
        <v>0.12</v>
      </c>
      <c r="W37" s="41">
        <v>0.12</v>
      </c>
      <c r="X37" s="41">
        <v>0.12</v>
      </c>
      <c r="Y37" s="41">
        <v>0.12</v>
      </c>
      <c r="Z37" s="41">
        <v>0.12</v>
      </c>
      <c r="AA37" s="41">
        <v>0.12</v>
      </c>
      <c r="AB37" s="41">
        <v>0.12</v>
      </c>
      <c r="AC37" s="41">
        <v>0.12</v>
      </c>
      <c r="AD37" s="41">
        <v>0.12</v>
      </c>
      <c r="AE37" s="41">
        <v>0.12</v>
      </c>
      <c r="AF37" s="41">
        <v>0.12</v>
      </c>
      <c r="AG37" s="41">
        <v>0.12</v>
      </c>
      <c r="AH37" s="41">
        <v>0.12</v>
      </c>
      <c r="AI37" s="41">
        <v>0.12</v>
      </c>
      <c r="AJ37" s="41">
        <v>0.12</v>
      </c>
      <c r="AK37" s="41">
        <v>0.12</v>
      </c>
      <c r="AL37" s="41">
        <v>0.12</v>
      </c>
      <c r="AM37" s="41">
        <v>0.12</v>
      </c>
      <c r="AN37" s="41">
        <v>0.12</v>
      </c>
      <c r="AO37" s="41">
        <v>0.12</v>
      </c>
      <c r="AP37" s="41">
        <v>0.12</v>
      </c>
      <c r="AQ37" s="41">
        <v>0.12</v>
      </c>
      <c r="AR37" s="41">
        <v>0.12</v>
      </c>
      <c r="AS37" s="41">
        <v>0.12</v>
      </c>
      <c r="AT37" s="41">
        <v>0.12</v>
      </c>
      <c r="AU37" s="41">
        <v>0.12</v>
      </c>
      <c r="AV37" s="41">
        <v>0.12</v>
      </c>
      <c r="AW37" s="41">
        <v>0.12</v>
      </c>
      <c r="AX37" s="41">
        <v>0.12</v>
      </c>
      <c r="AY37" s="41">
        <v>0.12</v>
      </c>
    </row>
    <row r="38" spans="3:51" x14ac:dyDescent="0.2">
      <c r="C38" s="2" t="s">
        <v>29</v>
      </c>
      <c r="H38" s="11">
        <v>0.28000000000000003</v>
      </c>
      <c r="I38" s="11">
        <v>0.28000000000000003</v>
      </c>
      <c r="J38" s="11">
        <v>0.28000000000000003</v>
      </c>
      <c r="K38" s="11">
        <v>0.28000000000000003</v>
      </c>
      <c r="L38" s="11">
        <v>0.28000000000000003</v>
      </c>
      <c r="M38" s="40">
        <v>0.28000000000000003</v>
      </c>
      <c r="N38" s="40">
        <v>0.28000000000000003</v>
      </c>
      <c r="O38" s="40">
        <v>0.28000000000000003</v>
      </c>
      <c r="P38" s="40">
        <v>0.28000000000000003</v>
      </c>
      <c r="Q38" s="40">
        <v>0.28000000000000003</v>
      </c>
      <c r="R38" s="40">
        <v>0.28000000000000003</v>
      </c>
      <c r="S38" s="40">
        <v>0.28000000000000003</v>
      </c>
      <c r="T38" s="40">
        <v>0.28000000000000003</v>
      </c>
      <c r="U38" s="40">
        <v>0.28000000000000003</v>
      </c>
      <c r="V38" s="40">
        <v>0.28000000000000003</v>
      </c>
      <c r="W38" s="40">
        <v>0.28000000000000003</v>
      </c>
      <c r="X38" s="40">
        <v>0.28000000000000003</v>
      </c>
      <c r="Y38" s="40">
        <v>0.28000000000000003</v>
      </c>
      <c r="Z38" s="40">
        <v>0.28000000000000003</v>
      </c>
      <c r="AA38" s="40">
        <v>0.28000000000000003</v>
      </c>
      <c r="AB38" s="40">
        <v>0.28000000000000003</v>
      </c>
      <c r="AC38" s="40">
        <v>0.28000000000000003</v>
      </c>
      <c r="AD38" s="40">
        <v>0.28000000000000003</v>
      </c>
      <c r="AE38" s="40">
        <v>0.28000000000000003</v>
      </c>
      <c r="AF38" s="40">
        <v>0.28000000000000003</v>
      </c>
      <c r="AG38" s="40">
        <v>0.28000000000000003</v>
      </c>
      <c r="AH38" s="40">
        <v>0.28000000000000003</v>
      </c>
      <c r="AI38" s="40">
        <v>0.28000000000000003</v>
      </c>
      <c r="AJ38" s="40">
        <v>0.28000000000000003</v>
      </c>
      <c r="AK38" s="40">
        <v>0.28000000000000003</v>
      </c>
      <c r="AL38" s="40">
        <v>0.28000000000000003</v>
      </c>
      <c r="AM38" s="40">
        <v>0.28000000000000003</v>
      </c>
      <c r="AN38" s="40">
        <v>0.28000000000000003</v>
      </c>
      <c r="AO38" s="40">
        <v>0.28000000000000003</v>
      </c>
      <c r="AP38" s="40">
        <v>0.28000000000000003</v>
      </c>
      <c r="AQ38" s="40">
        <v>0.28000000000000003</v>
      </c>
      <c r="AR38" s="40">
        <v>0.28000000000000003</v>
      </c>
      <c r="AS38" s="40">
        <v>0.28000000000000003</v>
      </c>
      <c r="AT38" s="40">
        <v>0.28000000000000003</v>
      </c>
      <c r="AU38" s="40">
        <v>0.28000000000000003</v>
      </c>
      <c r="AV38" s="40">
        <v>0.28000000000000003</v>
      </c>
      <c r="AW38" s="40">
        <v>0.28000000000000003</v>
      </c>
      <c r="AX38" s="40">
        <v>0.28000000000000003</v>
      </c>
      <c r="AY38" s="40">
        <v>0.28000000000000003</v>
      </c>
    </row>
    <row r="39" spans="3:51" x14ac:dyDescent="0.2">
      <c r="C39" s="2" t="s">
        <v>28</v>
      </c>
      <c r="H39" s="39">
        <v>0.01</v>
      </c>
      <c r="I39" s="39">
        <v>0.01</v>
      </c>
      <c r="J39" s="39">
        <v>0.01</v>
      </c>
      <c r="K39" s="39">
        <v>0.01</v>
      </c>
      <c r="L39" s="39">
        <v>0.01</v>
      </c>
      <c r="M39" s="40">
        <v>0.01</v>
      </c>
      <c r="N39" s="40">
        <v>0.01</v>
      </c>
      <c r="O39" s="40">
        <v>0.01</v>
      </c>
      <c r="P39" s="40">
        <v>0.01</v>
      </c>
      <c r="Q39" s="40">
        <v>0.01</v>
      </c>
      <c r="R39" s="40">
        <v>0.01</v>
      </c>
      <c r="S39" s="40">
        <v>0.01</v>
      </c>
      <c r="T39" s="40">
        <v>0.01</v>
      </c>
      <c r="U39" s="40">
        <v>0.01</v>
      </c>
      <c r="V39" s="40">
        <v>0.01</v>
      </c>
      <c r="W39" s="40">
        <v>0.01</v>
      </c>
      <c r="X39" s="40">
        <v>0.01</v>
      </c>
      <c r="Y39" s="40">
        <v>0.01</v>
      </c>
      <c r="Z39" s="40">
        <v>0.01</v>
      </c>
      <c r="AA39" s="40">
        <v>0.01</v>
      </c>
      <c r="AB39" s="40">
        <v>0.01</v>
      </c>
      <c r="AC39" s="40">
        <v>0.01</v>
      </c>
      <c r="AD39" s="40">
        <v>0.01</v>
      </c>
      <c r="AE39" s="40">
        <v>0.01</v>
      </c>
      <c r="AF39" s="40">
        <v>0.01</v>
      </c>
      <c r="AG39" s="40">
        <v>0.01</v>
      </c>
      <c r="AH39" s="40">
        <v>0.01</v>
      </c>
      <c r="AI39" s="40">
        <v>0.01</v>
      </c>
      <c r="AJ39" s="40">
        <v>0.01</v>
      </c>
      <c r="AK39" s="40">
        <v>0.01</v>
      </c>
      <c r="AL39" s="40">
        <v>0.01</v>
      </c>
      <c r="AM39" s="40">
        <v>0.01</v>
      </c>
      <c r="AN39" s="40">
        <v>0.01</v>
      </c>
      <c r="AO39" s="40">
        <v>0.01</v>
      </c>
      <c r="AP39" s="40">
        <v>0.01</v>
      </c>
      <c r="AQ39" s="40">
        <v>0.01</v>
      </c>
      <c r="AR39" s="40">
        <v>0.01</v>
      </c>
      <c r="AS39" s="40">
        <v>0.01</v>
      </c>
      <c r="AT39" s="40">
        <v>0.01</v>
      </c>
      <c r="AU39" s="40">
        <v>0.01</v>
      </c>
      <c r="AV39" s="40">
        <v>0.01</v>
      </c>
      <c r="AW39" s="40">
        <v>0.01</v>
      </c>
      <c r="AX39" s="40">
        <v>0.01</v>
      </c>
      <c r="AY39" s="40">
        <v>0.01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52D31-3DA1-4304-B8C4-429513423352}">
  <sheetPr codeName="Sheet3"/>
  <dimension ref="A1:AY55"/>
  <sheetViews>
    <sheetView topLeftCell="B6" workbookViewId="0">
      <selection activeCell="I59" sqref="I59"/>
    </sheetView>
  </sheetViews>
  <sheetFormatPr defaultColWidth="9.140625" defaultRowHeight="12.75" x14ac:dyDescent="0.2"/>
  <cols>
    <col min="1" max="1" width="9.140625" style="2"/>
    <col min="2" max="2" width="4" style="2" customWidth="1"/>
    <col min="3" max="7" width="9.140625" style="2"/>
    <col min="8" max="8" width="12.85546875" style="2" bestFit="1" customWidth="1"/>
    <col min="9" max="19" width="14" style="2" bestFit="1" customWidth="1"/>
    <col min="20" max="30" width="11.28515625" style="2" bestFit="1" customWidth="1"/>
    <col min="31" max="51" width="12.85546875" style="2" bestFit="1" customWidth="1"/>
    <col min="52" max="16384" width="9.140625" style="2"/>
  </cols>
  <sheetData>
    <row r="1" spans="1:51" x14ac:dyDescent="0.2">
      <c r="A1" s="6"/>
      <c r="G1" s="35" t="s">
        <v>17</v>
      </c>
      <c r="H1" s="34">
        <v>22</v>
      </c>
      <c r="I1" s="2">
        <v>23</v>
      </c>
      <c r="J1" s="2">
        <v>24</v>
      </c>
      <c r="K1" s="34">
        <v>25</v>
      </c>
      <c r="L1" s="2">
        <v>26</v>
      </c>
      <c r="M1" s="2">
        <v>27</v>
      </c>
      <c r="N1" s="34">
        <v>28</v>
      </c>
      <c r="O1" s="2">
        <v>29</v>
      </c>
      <c r="P1" s="2">
        <v>30</v>
      </c>
      <c r="Q1" s="34">
        <v>31</v>
      </c>
      <c r="R1" s="2">
        <v>32</v>
      </c>
      <c r="S1" s="2">
        <v>33</v>
      </c>
      <c r="T1" s="34">
        <v>34</v>
      </c>
      <c r="U1" s="2">
        <v>35</v>
      </c>
      <c r="V1" s="2">
        <v>36</v>
      </c>
      <c r="W1" s="34">
        <v>37</v>
      </c>
      <c r="X1" s="2">
        <v>38</v>
      </c>
      <c r="Y1" s="2">
        <v>39</v>
      </c>
      <c r="Z1" s="34">
        <v>40</v>
      </c>
      <c r="AA1" s="2">
        <v>41</v>
      </c>
      <c r="AB1" s="2">
        <v>42</v>
      </c>
      <c r="AC1" s="34">
        <v>43</v>
      </c>
      <c r="AD1" s="2">
        <v>44</v>
      </c>
      <c r="AE1" s="2">
        <v>45</v>
      </c>
      <c r="AF1" s="34">
        <v>46</v>
      </c>
      <c r="AG1" s="2">
        <v>47</v>
      </c>
      <c r="AH1" s="2">
        <v>48</v>
      </c>
      <c r="AI1" s="34">
        <v>49</v>
      </c>
      <c r="AJ1" s="2">
        <v>50</v>
      </c>
      <c r="AK1" s="2">
        <v>51</v>
      </c>
      <c r="AL1" s="34">
        <v>52</v>
      </c>
      <c r="AM1" s="2">
        <v>53</v>
      </c>
      <c r="AN1" s="2">
        <v>54</v>
      </c>
      <c r="AO1" s="34">
        <v>55</v>
      </c>
      <c r="AP1" s="2">
        <v>56</v>
      </c>
      <c r="AQ1" s="2">
        <v>57</v>
      </c>
      <c r="AR1" s="34">
        <v>58</v>
      </c>
      <c r="AS1" s="2">
        <v>59</v>
      </c>
      <c r="AT1" s="2">
        <v>60</v>
      </c>
      <c r="AU1" s="34">
        <v>61</v>
      </c>
      <c r="AV1" s="2">
        <v>62</v>
      </c>
      <c r="AW1" s="2">
        <v>63</v>
      </c>
      <c r="AX1" s="34">
        <v>64</v>
      </c>
      <c r="AY1" s="2">
        <v>65</v>
      </c>
    </row>
    <row r="2" spans="1:51" x14ac:dyDescent="0.2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</row>
    <row r="3" spans="1:51" x14ac:dyDescent="0.2">
      <c r="H3" s="27">
        <f t="shared" ref="H3:J3" si="0">I3-1</f>
        <v>2012</v>
      </c>
      <c r="I3" s="27">
        <f t="shared" si="0"/>
        <v>2013</v>
      </c>
      <c r="J3" s="27">
        <f t="shared" si="0"/>
        <v>2014</v>
      </c>
      <c r="K3" s="27">
        <f>L3-1</f>
        <v>2015</v>
      </c>
      <c r="L3" s="28">
        <f>M3-1</f>
        <v>2016</v>
      </c>
      <c r="M3" s="19">
        <v>2017</v>
      </c>
      <c r="N3" s="27">
        <f>M3+1</f>
        <v>2018</v>
      </c>
      <c r="O3" s="27">
        <f t="shared" ref="O3:AY3" si="1">N3+1</f>
        <v>2019</v>
      </c>
      <c r="P3" s="27">
        <f t="shared" si="1"/>
        <v>2020</v>
      </c>
      <c r="Q3" s="27">
        <f t="shared" si="1"/>
        <v>2021</v>
      </c>
      <c r="R3" s="27">
        <f t="shared" si="1"/>
        <v>2022</v>
      </c>
      <c r="S3" s="27">
        <f t="shared" si="1"/>
        <v>2023</v>
      </c>
      <c r="T3" s="27">
        <f t="shared" si="1"/>
        <v>2024</v>
      </c>
      <c r="U3" s="27">
        <f t="shared" si="1"/>
        <v>2025</v>
      </c>
      <c r="V3" s="27">
        <f t="shared" si="1"/>
        <v>2026</v>
      </c>
      <c r="W3" s="27">
        <f t="shared" si="1"/>
        <v>2027</v>
      </c>
      <c r="X3" s="27">
        <f t="shared" si="1"/>
        <v>2028</v>
      </c>
      <c r="Y3" s="27">
        <f t="shared" si="1"/>
        <v>2029</v>
      </c>
      <c r="Z3" s="27">
        <f t="shared" si="1"/>
        <v>2030</v>
      </c>
      <c r="AA3" s="27">
        <f t="shared" si="1"/>
        <v>2031</v>
      </c>
      <c r="AB3" s="27">
        <f t="shared" si="1"/>
        <v>2032</v>
      </c>
      <c r="AC3" s="27">
        <f t="shared" si="1"/>
        <v>2033</v>
      </c>
      <c r="AD3" s="27">
        <f t="shared" si="1"/>
        <v>2034</v>
      </c>
      <c r="AE3" s="27">
        <f t="shared" si="1"/>
        <v>2035</v>
      </c>
      <c r="AF3" s="27">
        <f t="shared" si="1"/>
        <v>2036</v>
      </c>
      <c r="AG3" s="27">
        <f t="shared" si="1"/>
        <v>2037</v>
      </c>
      <c r="AH3" s="27">
        <f t="shared" si="1"/>
        <v>2038</v>
      </c>
      <c r="AI3" s="27">
        <f t="shared" si="1"/>
        <v>2039</v>
      </c>
      <c r="AJ3" s="27">
        <f t="shared" si="1"/>
        <v>2040</v>
      </c>
      <c r="AK3" s="27">
        <f t="shared" si="1"/>
        <v>2041</v>
      </c>
      <c r="AL3" s="27">
        <f t="shared" si="1"/>
        <v>2042</v>
      </c>
      <c r="AM3" s="27">
        <f t="shared" si="1"/>
        <v>2043</v>
      </c>
      <c r="AN3" s="27">
        <f t="shared" si="1"/>
        <v>2044</v>
      </c>
      <c r="AO3" s="27">
        <f t="shared" si="1"/>
        <v>2045</v>
      </c>
      <c r="AP3" s="27">
        <f t="shared" si="1"/>
        <v>2046</v>
      </c>
      <c r="AQ3" s="27">
        <f t="shared" si="1"/>
        <v>2047</v>
      </c>
      <c r="AR3" s="27">
        <f t="shared" si="1"/>
        <v>2048</v>
      </c>
      <c r="AS3" s="27">
        <f t="shared" si="1"/>
        <v>2049</v>
      </c>
      <c r="AT3" s="27">
        <f t="shared" si="1"/>
        <v>2050</v>
      </c>
      <c r="AU3" s="27">
        <f t="shared" si="1"/>
        <v>2051</v>
      </c>
      <c r="AV3" s="27">
        <f t="shared" si="1"/>
        <v>2052</v>
      </c>
      <c r="AW3" s="27">
        <f t="shared" si="1"/>
        <v>2053</v>
      </c>
      <c r="AX3" s="27">
        <f t="shared" si="1"/>
        <v>2054</v>
      </c>
      <c r="AY3" s="27">
        <f t="shared" si="1"/>
        <v>2055</v>
      </c>
    </row>
    <row r="4" spans="1:51" x14ac:dyDescent="0.2">
      <c r="H4" s="29"/>
      <c r="I4" s="29"/>
      <c r="J4" s="29"/>
      <c r="K4" s="29"/>
      <c r="L4" s="30"/>
      <c r="M4" s="29"/>
      <c r="N4" s="29"/>
      <c r="O4" s="29"/>
      <c r="P4" s="29"/>
    </row>
    <row r="5" spans="1:51" x14ac:dyDescent="0.2">
      <c r="B5" s="4" t="s">
        <v>9</v>
      </c>
      <c r="H5" s="29"/>
      <c r="I5" s="29"/>
      <c r="J5" s="29"/>
      <c r="K5" s="29"/>
      <c r="L5" s="30"/>
      <c r="M5" s="29"/>
      <c r="N5" s="29"/>
      <c r="O5" s="29"/>
      <c r="P5" s="29"/>
    </row>
    <row r="6" spans="1:51" x14ac:dyDescent="0.2">
      <c r="B6" s="2" t="s">
        <v>15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1">
        <v>100000</v>
      </c>
      <c r="N6" s="31">
        <f>M6*(1+N31)</f>
        <v>103000</v>
      </c>
      <c r="O6" s="31">
        <f t="shared" ref="O6:AY6" si="2">N6*(1+O31)</f>
        <v>106090</v>
      </c>
      <c r="P6" s="31">
        <f t="shared" si="2"/>
        <v>109272.7</v>
      </c>
      <c r="Q6" s="31">
        <f t="shared" si="2"/>
        <v>112550.88099999999</v>
      </c>
      <c r="R6" s="31">
        <f t="shared" si="2"/>
        <v>115927.40742999999</v>
      </c>
      <c r="S6" s="31">
        <f t="shared" si="2"/>
        <v>119405.2296529</v>
      </c>
      <c r="T6" s="31">
        <f t="shared" si="2"/>
        <v>122987.386542487</v>
      </c>
      <c r="U6" s="31">
        <f t="shared" si="2"/>
        <v>126677.00813876161</v>
      </c>
      <c r="V6" s="31">
        <f t="shared" si="2"/>
        <v>130477.31838292447</v>
      </c>
      <c r="W6" s="31">
        <f t="shared" si="2"/>
        <v>134391.6379344122</v>
      </c>
      <c r="X6" s="31">
        <f t="shared" si="2"/>
        <v>138423.38707244457</v>
      </c>
      <c r="Y6" s="31">
        <f t="shared" si="2"/>
        <v>142576.08868461792</v>
      </c>
      <c r="Z6" s="31">
        <f t="shared" si="2"/>
        <v>146853.37134515645</v>
      </c>
      <c r="AA6" s="31">
        <f t="shared" si="2"/>
        <v>151258.97248551116</v>
      </c>
      <c r="AB6" s="31">
        <f t="shared" si="2"/>
        <v>155796.74166007648</v>
      </c>
      <c r="AC6" s="31">
        <f t="shared" si="2"/>
        <v>160470.6439098788</v>
      </c>
      <c r="AD6" s="31">
        <f t="shared" si="2"/>
        <v>165284.76322717516</v>
      </c>
      <c r="AE6" s="31">
        <f t="shared" si="2"/>
        <v>170243.30612399042</v>
      </c>
      <c r="AF6" s="31">
        <f t="shared" si="2"/>
        <v>175350.60530771012</v>
      </c>
      <c r="AG6" s="31">
        <f t="shared" si="2"/>
        <v>180611.12346694144</v>
      </c>
      <c r="AH6" s="31">
        <f t="shared" si="2"/>
        <v>186029.4571709497</v>
      </c>
      <c r="AI6" s="31">
        <f t="shared" si="2"/>
        <v>191610.34088607819</v>
      </c>
      <c r="AJ6" s="31">
        <f t="shared" si="2"/>
        <v>197358.65111266053</v>
      </c>
      <c r="AK6" s="31">
        <f t="shared" si="2"/>
        <v>203279.41064604034</v>
      </c>
      <c r="AL6" s="31">
        <f t="shared" si="2"/>
        <v>209377.79296542157</v>
      </c>
      <c r="AM6" s="31">
        <f t="shared" si="2"/>
        <v>215659.12675438423</v>
      </c>
      <c r="AN6" s="31">
        <f t="shared" si="2"/>
        <v>222128.90055701576</v>
      </c>
      <c r="AO6" s="31">
        <f t="shared" si="2"/>
        <v>228792.76757372625</v>
      </c>
      <c r="AP6" s="31">
        <f t="shared" si="2"/>
        <v>235656.55060093803</v>
      </c>
      <c r="AQ6" s="31">
        <f t="shared" si="2"/>
        <v>242726.24711896619</v>
      </c>
      <c r="AR6" s="31">
        <f t="shared" si="2"/>
        <v>250008.03453253518</v>
      </c>
      <c r="AS6" s="31">
        <f t="shared" si="2"/>
        <v>257508.27556851125</v>
      </c>
      <c r="AT6" s="31">
        <f t="shared" si="2"/>
        <v>265233.52383556659</v>
      </c>
      <c r="AU6" s="31">
        <f t="shared" si="2"/>
        <v>273190.52955063363</v>
      </c>
      <c r="AV6" s="31">
        <f t="shared" si="2"/>
        <v>281386.24543715263</v>
      </c>
      <c r="AW6" s="31">
        <f t="shared" si="2"/>
        <v>289827.83280026721</v>
      </c>
      <c r="AX6" s="31">
        <f t="shared" si="2"/>
        <v>298522.66778427525</v>
      </c>
      <c r="AY6" s="31">
        <f t="shared" si="2"/>
        <v>307478.3478178035</v>
      </c>
    </row>
    <row r="7" spans="1:51" x14ac:dyDescent="0.2">
      <c r="H7" s="32"/>
      <c r="I7" s="32"/>
      <c r="J7" s="32"/>
      <c r="K7" s="32"/>
      <c r="L7" s="33"/>
      <c r="M7" s="32"/>
      <c r="N7" s="32"/>
      <c r="O7" s="32"/>
      <c r="P7" s="32"/>
    </row>
    <row r="8" spans="1:51" x14ac:dyDescent="0.2">
      <c r="C8" s="3" t="s">
        <v>10</v>
      </c>
      <c r="H8" s="13">
        <f>SUM(H6)</f>
        <v>50000</v>
      </c>
      <c r="I8" s="13">
        <f t="shared" ref="I8:AY8" si="3">SUM(I6)</f>
        <v>60000</v>
      </c>
      <c r="J8" s="13">
        <f t="shared" si="3"/>
        <v>70000</v>
      </c>
      <c r="K8" s="13">
        <f t="shared" si="3"/>
        <v>80000</v>
      </c>
      <c r="L8" s="13">
        <f t="shared" si="3"/>
        <v>90000</v>
      </c>
      <c r="M8" s="13">
        <f t="shared" si="3"/>
        <v>100000</v>
      </c>
      <c r="N8" s="13">
        <f t="shared" si="3"/>
        <v>103000</v>
      </c>
      <c r="O8" s="13">
        <f t="shared" si="3"/>
        <v>106090</v>
      </c>
      <c r="P8" s="13">
        <f t="shared" si="3"/>
        <v>109272.7</v>
      </c>
      <c r="Q8" s="13">
        <f t="shared" si="3"/>
        <v>112550.88099999999</v>
      </c>
      <c r="R8" s="13">
        <f t="shared" si="3"/>
        <v>115927.40742999999</v>
      </c>
      <c r="S8" s="13">
        <f t="shared" si="3"/>
        <v>119405.2296529</v>
      </c>
      <c r="T8" s="13">
        <f t="shared" si="3"/>
        <v>122987.386542487</v>
      </c>
      <c r="U8" s="13">
        <f t="shared" si="3"/>
        <v>126677.00813876161</v>
      </c>
      <c r="V8" s="13">
        <f t="shared" si="3"/>
        <v>130477.31838292447</v>
      </c>
      <c r="W8" s="13">
        <f t="shared" si="3"/>
        <v>134391.6379344122</v>
      </c>
      <c r="X8" s="13">
        <f t="shared" si="3"/>
        <v>138423.38707244457</v>
      </c>
      <c r="Y8" s="13">
        <f t="shared" si="3"/>
        <v>142576.08868461792</v>
      </c>
      <c r="Z8" s="13">
        <f t="shared" si="3"/>
        <v>146853.37134515645</v>
      </c>
      <c r="AA8" s="13">
        <f t="shared" si="3"/>
        <v>151258.97248551116</v>
      </c>
      <c r="AB8" s="13">
        <f t="shared" si="3"/>
        <v>155796.74166007648</v>
      </c>
      <c r="AC8" s="13">
        <f t="shared" si="3"/>
        <v>160470.6439098788</v>
      </c>
      <c r="AD8" s="13">
        <f t="shared" si="3"/>
        <v>165284.76322717516</v>
      </c>
      <c r="AE8" s="13">
        <f t="shared" si="3"/>
        <v>170243.30612399042</v>
      </c>
      <c r="AF8" s="13">
        <f t="shared" si="3"/>
        <v>175350.60530771012</v>
      </c>
      <c r="AG8" s="13">
        <f t="shared" si="3"/>
        <v>180611.12346694144</v>
      </c>
      <c r="AH8" s="13">
        <f t="shared" si="3"/>
        <v>186029.4571709497</v>
      </c>
      <c r="AI8" s="13">
        <f t="shared" si="3"/>
        <v>191610.34088607819</v>
      </c>
      <c r="AJ8" s="13">
        <f t="shared" si="3"/>
        <v>197358.65111266053</v>
      </c>
      <c r="AK8" s="13">
        <f t="shared" si="3"/>
        <v>203279.41064604034</v>
      </c>
      <c r="AL8" s="13">
        <f t="shared" si="3"/>
        <v>209377.79296542157</v>
      </c>
      <c r="AM8" s="13">
        <f t="shared" si="3"/>
        <v>215659.12675438423</v>
      </c>
      <c r="AN8" s="13">
        <f t="shared" si="3"/>
        <v>222128.90055701576</v>
      </c>
      <c r="AO8" s="13">
        <f t="shared" si="3"/>
        <v>228792.76757372625</v>
      </c>
      <c r="AP8" s="13">
        <f t="shared" si="3"/>
        <v>235656.55060093803</v>
      </c>
      <c r="AQ8" s="13">
        <f t="shared" si="3"/>
        <v>242726.24711896619</v>
      </c>
      <c r="AR8" s="13">
        <f t="shared" si="3"/>
        <v>250008.03453253518</v>
      </c>
      <c r="AS8" s="13">
        <f t="shared" si="3"/>
        <v>257508.27556851125</v>
      </c>
      <c r="AT8" s="13">
        <f t="shared" si="3"/>
        <v>265233.52383556659</v>
      </c>
      <c r="AU8" s="13">
        <f t="shared" si="3"/>
        <v>273190.52955063363</v>
      </c>
      <c r="AV8" s="13">
        <f t="shared" si="3"/>
        <v>281386.24543715263</v>
      </c>
      <c r="AW8" s="13">
        <f t="shared" si="3"/>
        <v>289827.83280026721</v>
      </c>
      <c r="AX8" s="13">
        <f t="shared" si="3"/>
        <v>298522.66778427525</v>
      </c>
      <c r="AY8" s="13">
        <f t="shared" si="3"/>
        <v>307478.3478178035</v>
      </c>
    </row>
    <row r="9" spans="1:51" x14ac:dyDescent="0.2">
      <c r="H9" s="12"/>
      <c r="I9" s="12"/>
      <c r="J9" s="12"/>
      <c r="K9" s="12"/>
      <c r="L9" s="25"/>
      <c r="M9" s="12"/>
      <c r="N9" s="12"/>
      <c r="O9" s="12"/>
      <c r="P9" s="12"/>
    </row>
    <row r="10" spans="1:51" x14ac:dyDescent="0.2">
      <c r="B10" s="4" t="s">
        <v>11</v>
      </c>
      <c r="H10" s="12"/>
      <c r="I10" s="12"/>
      <c r="J10" s="12"/>
      <c r="K10" s="12"/>
      <c r="L10" s="25"/>
      <c r="M10" s="12"/>
      <c r="N10" s="12"/>
      <c r="O10" s="12"/>
      <c r="P10" s="12"/>
    </row>
    <row r="11" spans="1:51" x14ac:dyDescent="0.2">
      <c r="B11" s="2" t="s">
        <v>7</v>
      </c>
      <c r="H11" s="10">
        <f>1500*12</f>
        <v>18000</v>
      </c>
      <c r="I11" s="10">
        <f t="shared" ref="I11:AK11" si="4">1500*12</f>
        <v>18000</v>
      </c>
      <c r="J11" s="10">
        <f t="shared" si="4"/>
        <v>18000</v>
      </c>
      <c r="K11" s="10">
        <f t="shared" si="4"/>
        <v>18000</v>
      </c>
      <c r="L11" s="24">
        <f t="shared" si="4"/>
        <v>18000</v>
      </c>
      <c r="M11" s="24">
        <f t="shared" si="4"/>
        <v>18000</v>
      </c>
      <c r="N11" s="24">
        <f t="shared" si="4"/>
        <v>18000</v>
      </c>
      <c r="O11" s="24">
        <f t="shared" si="4"/>
        <v>18000</v>
      </c>
      <c r="P11" s="24">
        <f t="shared" si="4"/>
        <v>18000</v>
      </c>
      <c r="Q11" s="24">
        <f t="shared" si="4"/>
        <v>18000</v>
      </c>
      <c r="R11" s="24">
        <f t="shared" si="4"/>
        <v>18000</v>
      </c>
      <c r="S11" s="24">
        <f t="shared" si="4"/>
        <v>18000</v>
      </c>
      <c r="T11" s="24">
        <f t="shared" si="4"/>
        <v>18000</v>
      </c>
      <c r="U11" s="24">
        <f t="shared" si="4"/>
        <v>18000</v>
      </c>
      <c r="V11" s="24">
        <f t="shared" si="4"/>
        <v>18000</v>
      </c>
      <c r="W11" s="24">
        <f t="shared" si="4"/>
        <v>18000</v>
      </c>
      <c r="X11" s="24">
        <f t="shared" si="4"/>
        <v>18000</v>
      </c>
      <c r="Y11" s="24">
        <f t="shared" si="4"/>
        <v>18000</v>
      </c>
      <c r="Z11" s="24">
        <f t="shared" si="4"/>
        <v>18000</v>
      </c>
      <c r="AA11" s="24">
        <f t="shared" si="4"/>
        <v>18000</v>
      </c>
      <c r="AB11" s="24">
        <f t="shared" si="4"/>
        <v>18000</v>
      </c>
      <c r="AC11" s="24">
        <f t="shared" si="4"/>
        <v>18000</v>
      </c>
      <c r="AD11" s="24">
        <f t="shared" si="4"/>
        <v>18000</v>
      </c>
      <c r="AE11" s="24">
        <f t="shared" si="4"/>
        <v>18000</v>
      </c>
      <c r="AF11" s="24">
        <f t="shared" si="4"/>
        <v>18000</v>
      </c>
      <c r="AG11" s="24">
        <f t="shared" si="4"/>
        <v>18000</v>
      </c>
      <c r="AH11" s="24">
        <f t="shared" si="4"/>
        <v>18000</v>
      </c>
      <c r="AI11" s="24">
        <f t="shared" si="4"/>
        <v>18000</v>
      </c>
      <c r="AJ11" s="24">
        <f t="shared" si="4"/>
        <v>18000</v>
      </c>
      <c r="AK11" s="24">
        <f t="shared" si="4"/>
        <v>18000</v>
      </c>
      <c r="AL11" s="24"/>
    </row>
    <row r="12" spans="1:51" x14ac:dyDescent="0.2">
      <c r="B12" s="2" t="s">
        <v>16</v>
      </c>
      <c r="H12" s="10">
        <f>300*12</f>
        <v>3600</v>
      </c>
      <c r="I12" s="10">
        <f t="shared" ref="I12:Q12" si="5">300*12</f>
        <v>3600</v>
      </c>
      <c r="J12" s="10">
        <f t="shared" si="5"/>
        <v>3600</v>
      </c>
      <c r="K12" s="10">
        <f t="shared" si="5"/>
        <v>3600</v>
      </c>
      <c r="L12" s="24">
        <f t="shared" si="5"/>
        <v>3600</v>
      </c>
      <c r="M12" s="24">
        <f t="shared" si="5"/>
        <v>3600</v>
      </c>
      <c r="N12" s="24">
        <f t="shared" si="5"/>
        <v>3600</v>
      </c>
      <c r="O12" s="24">
        <f t="shared" si="5"/>
        <v>3600</v>
      </c>
      <c r="P12" s="24">
        <f t="shared" si="5"/>
        <v>3600</v>
      </c>
      <c r="Q12" s="24">
        <f t="shared" si="5"/>
        <v>3600</v>
      </c>
    </row>
    <row r="13" spans="1:51" x14ac:dyDescent="0.2">
      <c r="B13" s="2" t="s">
        <v>18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500</v>
      </c>
      <c r="N13" s="12">
        <f t="shared" ref="N13:AY13" si="6">N6*N34</f>
        <v>515</v>
      </c>
      <c r="O13" s="12">
        <f t="shared" si="6"/>
        <v>530.45000000000005</v>
      </c>
      <c r="P13" s="12">
        <f t="shared" si="6"/>
        <v>546.36350000000004</v>
      </c>
      <c r="Q13" s="12">
        <f t="shared" si="6"/>
        <v>562.75440500000002</v>
      </c>
      <c r="R13" s="12">
        <f t="shared" si="6"/>
        <v>579.63703714999997</v>
      </c>
      <c r="S13" s="12">
        <f t="shared" si="6"/>
        <v>597.02614826449997</v>
      </c>
      <c r="T13" s="12">
        <f t="shared" si="6"/>
        <v>614.93693271243501</v>
      </c>
      <c r="U13" s="12">
        <f t="shared" si="6"/>
        <v>633.38504069380804</v>
      </c>
      <c r="V13" s="12">
        <f t="shared" si="6"/>
        <v>652.38659191462239</v>
      </c>
      <c r="W13" s="12">
        <f t="shared" si="6"/>
        <v>671.95818967206094</v>
      </c>
      <c r="X13" s="12">
        <f t="shared" si="6"/>
        <v>692.11693536222288</v>
      </c>
      <c r="Y13" s="12">
        <f t="shared" si="6"/>
        <v>712.88044342308956</v>
      </c>
      <c r="Z13" s="12">
        <f t="shared" si="6"/>
        <v>734.2668567257823</v>
      </c>
      <c r="AA13" s="12">
        <f t="shared" si="6"/>
        <v>756.29486242755581</v>
      </c>
      <c r="AB13" s="12">
        <f t="shared" si="6"/>
        <v>778.98370830038243</v>
      </c>
      <c r="AC13" s="12">
        <f t="shared" si="6"/>
        <v>802.353219549394</v>
      </c>
      <c r="AD13" s="12">
        <f t="shared" si="6"/>
        <v>826.42381613587588</v>
      </c>
      <c r="AE13" s="12">
        <f t="shared" si="6"/>
        <v>851.2165306199521</v>
      </c>
      <c r="AF13" s="12">
        <f t="shared" si="6"/>
        <v>876.75302653855067</v>
      </c>
      <c r="AG13" s="12">
        <f t="shared" si="6"/>
        <v>903.05561733470722</v>
      </c>
      <c r="AH13" s="12">
        <f t="shared" si="6"/>
        <v>930.14728585474847</v>
      </c>
      <c r="AI13" s="12">
        <f t="shared" si="6"/>
        <v>958.05170443039094</v>
      </c>
      <c r="AJ13" s="12">
        <f t="shared" si="6"/>
        <v>986.79325556330264</v>
      </c>
      <c r="AK13" s="12">
        <f t="shared" si="6"/>
        <v>1016.3970532302018</v>
      </c>
      <c r="AL13" s="12">
        <f t="shared" si="6"/>
        <v>1046.8889648271079</v>
      </c>
      <c r="AM13" s="12">
        <f t="shared" si="6"/>
        <v>1078.2956337719211</v>
      </c>
      <c r="AN13" s="12">
        <f t="shared" si="6"/>
        <v>1110.6445027850789</v>
      </c>
      <c r="AO13" s="12">
        <f t="shared" si="6"/>
        <v>1143.9638378686313</v>
      </c>
      <c r="AP13" s="12">
        <f t="shared" si="6"/>
        <v>1178.2827530046902</v>
      </c>
      <c r="AQ13" s="12">
        <f t="shared" si="6"/>
        <v>1213.631235594831</v>
      </c>
      <c r="AR13" s="12">
        <f t="shared" si="6"/>
        <v>1250.040172662676</v>
      </c>
      <c r="AS13" s="12">
        <f t="shared" si="6"/>
        <v>1287.5413778425564</v>
      </c>
      <c r="AT13" s="12">
        <f t="shared" si="6"/>
        <v>1326.1676191778331</v>
      </c>
      <c r="AU13" s="12">
        <f t="shared" si="6"/>
        <v>1365.9526477531681</v>
      </c>
      <c r="AV13" s="12">
        <f t="shared" si="6"/>
        <v>1406.9312271857632</v>
      </c>
      <c r="AW13" s="12">
        <f t="shared" si="6"/>
        <v>1449.139164001336</v>
      </c>
      <c r="AX13" s="12">
        <f t="shared" si="6"/>
        <v>1492.6133389213762</v>
      </c>
      <c r="AY13" s="12">
        <f t="shared" si="6"/>
        <v>1537.3917390890176</v>
      </c>
    </row>
    <row r="14" spans="1:51" x14ac:dyDescent="0.2">
      <c r="B14" s="2" t="s">
        <v>19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M6*M35</f>
        <v>9000</v>
      </c>
      <c r="N14" s="12">
        <f t="shared" ref="N14:AY14" si="7">N6*N35</f>
        <v>9270</v>
      </c>
      <c r="O14" s="12">
        <f t="shared" si="7"/>
        <v>9548.1</v>
      </c>
      <c r="P14" s="12">
        <f t="shared" si="7"/>
        <v>9834.5429999999997</v>
      </c>
      <c r="Q14" s="12">
        <f t="shared" si="7"/>
        <v>10129.57929</v>
      </c>
      <c r="R14" s="12">
        <f t="shared" si="7"/>
        <v>10433.466668699999</v>
      </c>
      <c r="S14" s="12">
        <f t="shared" si="7"/>
        <v>10746.470668761</v>
      </c>
      <c r="T14" s="12">
        <f t="shared" si="7"/>
        <v>11068.86478882383</v>
      </c>
      <c r="U14" s="12">
        <f t="shared" si="7"/>
        <v>11400.930732488545</v>
      </c>
      <c r="V14" s="12">
        <f t="shared" si="7"/>
        <v>11742.958654463202</v>
      </c>
      <c r="W14" s="12">
        <f t="shared" si="7"/>
        <v>12095.247414097097</v>
      </c>
      <c r="X14" s="12">
        <f t="shared" si="7"/>
        <v>12458.104836520011</v>
      </c>
      <c r="Y14" s="12">
        <f t="shared" si="7"/>
        <v>12831.847981615612</v>
      </c>
      <c r="Z14" s="12">
        <f t="shared" si="7"/>
        <v>13216.80342106408</v>
      </c>
      <c r="AA14" s="12">
        <f t="shared" si="7"/>
        <v>13613.307523696003</v>
      </c>
      <c r="AB14" s="12">
        <f t="shared" si="7"/>
        <v>14021.706749406883</v>
      </c>
      <c r="AC14" s="12">
        <f t="shared" si="7"/>
        <v>14442.357951889091</v>
      </c>
      <c r="AD14" s="12">
        <f t="shared" si="7"/>
        <v>14875.628690445765</v>
      </c>
      <c r="AE14" s="12">
        <f t="shared" si="7"/>
        <v>15321.897551159138</v>
      </c>
      <c r="AF14" s="12">
        <f t="shared" si="7"/>
        <v>15781.554477693911</v>
      </c>
      <c r="AG14" s="12">
        <f t="shared" si="7"/>
        <v>16255.001112024729</v>
      </c>
      <c r="AH14" s="12">
        <f t="shared" si="7"/>
        <v>16742.651145385473</v>
      </c>
      <c r="AI14" s="12">
        <f t="shared" si="7"/>
        <v>17244.930679747038</v>
      </c>
      <c r="AJ14" s="12">
        <f t="shared" si="7"/>
        <v>17762.278600139449</v>
      </c>
      <c r="AK14" s="12">
        <f t="shared" si="7"/>
        <v>18295.146958143629</v>
      </c>
      <c r="AL14" s="12">
        <f t="shared" si="7"/>
        <v>18844.00136688794</v>
      </c>
      <c r="AM14" s="12">
        <f t="shared" si="7"/>
        <v>19409.321407894578</v>
      </c>
      <c r="AN14" s="12">
        <f t="shared" si="7"/>
        <v>19991.601050131419</v>
      </c>
      <c r="AO14" s="12">
        <f t="shared" si="7"/>
        <v>20591.349081635362</v>
      </c>
      <c r="AP14" s="12">
        <f t="shared" si="7"/>
        <v>21209.089554084421</v>
      </c>
      <c r="AQ14" s="12">
        <f t="shared" si="7"/>
        <v>21845.362240706956</v>
      </c>
      <c r="AR14" s="12">
        <f t="shared" si="7"/>
        <v>22500.723107928166</v>
      </c>
      <c r="AS14" s="12">
        <f t="shared" si="7"/>
        <v>23175.744801166013</v>
      </c>
      <c r="AT14" s="12">
        <f t="shared" si="7"/>
        <v>23871.017145200993</v>
      </c>
      <c r="AU14" s="12">
        <f t="shared" si="7"/>
        <v>24587.147659557024</v>
      </c>
      <c r="AV14" s="12">
        <f t="shared" si="7"/>
        <v>25324.762089343734</v>
      </c>
      <c r="AW14" s="12">
        <f t="shared" si="7"/>
        <v>26084.504952024046</v>
      </c>
      <c r="AX14" s="12">
        <f t="shared" si="7"/>
        <v>26867.040100584771</v>
      </c>
      <c r="AY14" s="12">
        <f t="shared" si="7"/>
        <v>27673.051303602315</v>
      </c>
    </row>
    <row r="15" spans="1:51" x14ac:dyDescent="0.2">
      <c r="B15" s="2" t="s">
        <v>20</v>
      </c>
      <c r="H15" s="10">
        <f>100*12</f>
        <v>1200</v>
      </c>
      <c r="I15" s="10">
        <f t="shared" ref="I15:L15" si="8">100*12</f>
        <v>1200</v>
      </c>
      <c r="J15" s="10">
        <f t="shared" si="8"/>
        <v>1200</v>
      </c>
      <c r="K15" s="10">
        <f t="shared" si="8"/>
        <v>1200</v>
      </c>
      <c r="L15" s="24">
        <f t="shared" si="8"/>
        <v>1200</v>
      </c>
      <c r="M15" s="12">
        <v>1200</v>
      </c>
      <c r="N15" s="12">
        <f>M15</f>
        <v>1200</v>
      </c>
      <c r="O15" s="12">
        <f t="shared" ref="O15:AY15" si="9">N15</f>
        <v>1200</v>
      </c>
      <c r="P15" s="12">
        <f t="shared" si="9"/>
        <v>1200</v>
      </c>
      <c r="Q15" s="12">
        <f t="shared" si="9"/>
        <v>1200</v>
      </c>
      <c r="R15" s="12">
        <f t="shared" si="9"/>
        <v>1200</v>
      </c>
      <c r="S15" s="12">
        <f t="shared" si="9"/>
        <v>1200</v>
      </c>
      <c r="T15" s="12">
        <f t="shared" si="9"/>
        <v>1200</v>
      </c>
      <c r="U15" s="12">
        <f t="shared" si="9"/>
        <v>1200</v>
      </c>
      <c r="V15" s="12">
        <f t="shared" si="9"/>
        <v>1200</v>
      </c>
      <c r="W15" s="12">
        <f t="shared" si="9"/>
        <v>1200</v>
      </c>
      <c r="X15" s="12">
        <f t="shared" si="9"/>
        <v>1200</v>
      </c>
      <c r="Y15" s="12">
        <f t="shared" si="9"/>
        <v>1200</v>
      </c>
      <c r="Z15" s="12">
        <f t="shared" si="9"/>
        <v>1200</v>
      </c>
      <c r="AA15" s="12">
        <f t="shared" si="9"/>
        <v>1200</v>
      </c>
      <c r="AB15" s="12">
        <f t="shared" si="9"/>
        <v>1200</v>
      </c>
      <c r="AC15" s="12">
        <f t="shared" si="9"/>
        <v>1200</v>
      </c>
      <c r="AD15" s="12">
        <f t="shared" si="9"/>
        <v>1200</v>
      </c>
      <c r="AE15" s="12">
        <f t="shared" si="9"/>
        <v>1200</v>
      </c>
      <c r="AF15" s="12">
        <f t="shared" si="9"/>
        <v>1200</v>
      </c>
      <c r="AG15" s="12">
        <f t="shared" si="9"/>
        <v>1200</v>
      </c>
      <c r="AH15" s="12">
        <f t="shared" si="9"/>
        <v>1200</v>
      </c>
      <c r="AI15" s="12">
        <f t="shared" si="9"/>
        <v>1200</v>
      </c>
      <c r="AJ15" s="12">
        <f t="shared" si="9"/>
        <v>1200</v>
      </c>
      <c r="AK15" s="12">
        <f t="shared" si="9"/>
        <v>1200</v>
      </c>
      <c r="AL15" s="12">
        <f t="shared" si="9"/>
        <v>1200</v>
      </c>
      <c r="AM15" s="12">
        <f t="shared" si="9"/>
        <v>1200</v>
      </c>
      <c r="AN15" s="12">
        <f t="shared" si="9"/>
        <v>1200</v>
      </c>
      <c r="AO15" s="12">
        <f t="shared" si="9"/>
        <v>1200</v>
      </c>
      <c r="AP15" s="12">
        <f t="shared" si="9"/>
        <v>1200</v>
      </c>
      <c r="AQ15" s="12">
        <f t="shared" si="9"/>
        <v>1200</v>
      </c>
      <c r="AR15" s="12">
        <f t="shared" si="9"/>
        <v>1200</v>
      </c>
      <c r="AS15" s="12">
        <f t="shared" si="9"/>
        <v>1200</v>
      </c>
      <c r="AT15" s="12">
        <f t="shared" si="9"/>
        <v>1200</v>
      </c>
      <c r="AU15" s="12">
        <f t="shared" si="9"/>
        <v>1200</v>
      </c>
      <c r="AV15" s="12">
        <f t="shared" si="9"/>
        <v>1200</v>
      </c>
      <c r="AW15" s="12">
        <f t="shared" si="9"/>
        <v>1200</v>
      </c>
      <c r="AX15" s="12">
        <f t="shared" si="9"/>
        <v>1200</v>
      </c>
      <c r="AY15" s="12">
        <f t="shared" si="9"/>
        <v>1200</v>
      </c>
    </row>
    <row r="16" spans="1:51" x14ac:dyDescent="0.2">
      <c r="B16" s="2" t="s">
        <v>8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12000</v>
      </c>
      <c r="N16" s="12">
        <f t="shared" ref="N16:AY16" si="10">N37*N6</f>
        <v>12360</v>
      </c>
      <c r="O16" s="12">
        <f t="shared" si="10"/>
        <v>12730.8</v>
      </c>
      <c r="P16" s="12">
        <f t="shared" si="10"/>
        <v>13112.723999999998</v>
      </c>
      <c r="Q16" s="12">
        <f t="shared" si="10"/>
        <v>13506.10572</v>
      </c>
      <c r="R16" s="12">
        <f t="shared" si="10"/>
        <v>13911.288891599999</v>
      </c>
      <c r="S16" s="12">
        <f t="shared" si="10"/>
        <v>14328.627558348</v>
      </c>
      <c r="T16" s="12">
        <f t="shared" si="10"/>
        <v>14758.48638509844</v>
      </c>
      <c r="U16" s="12">
        <f t="shared" si="10"/>
        <v>15201.240976651392</v>
      </c>
      <c r="V16" s="12">
        <f t="shared" si="10"/>
        <v>15657.278205950935</v>
      </c>
      <c r="W16" s="12">
        <f t="shared" si="10"/>
        <v>16126.996552129463</v>
      </c>
      <c r="X16" s="12">
        <f t="shared" si="10"/>
        <v>16610.806448693347</v>
      </c>
      <c r="Y16" s="12">
        <f t="shared" si="10"/>
        <v>17109.130642154149</v>
      </c>
      <c r="Z16" s="12">
        <f t="shared" si="10"/>
        <v>17622.404561418774</v>
      </c>
      <c r="AA16" s="12">
        <f t="shared" si="10"/>
        <v>18151.076698261339</v>
      </c>
      <c r="AB16" s="12">
        <f t="shared" si="10"/>
        <v>18695.608999209177</v>
      </c>
      <c r="AC16" s="12">
        <f t="shared" si="10"/>
        <v>19256.477269185456</v>
      </c>
      <c r="AD16" s="12">
        <f t="shared" si="10"/>
        <v>19834.171587261018</v>
      </c>
      <c r="AE16" s="12">
        <f t="shared" si="10"/>
        <v>20429.196734878849</v>
      </c>
      <c r="AF16" s="12">
        <f t="shared" si="10"/>
        <v>21042.072636925215</v>
      </c>
      <c r="AG16" s="12">
        <f t="shared" si="10"/>
        <v>21673.334816032973</v>
      </c>
      <c r="AH16" s="12">
        <f t="shared" si="10"/>
        <v>22323.534860513962</v>
      </c>
      <c r="AI16" s="12">
        <f t="shared" si="10"/>
        <v>22993.240906329382</v>
      </c>
      <c r="AJ16" s="12">
        <f t="shared" si="10"/>
        <v>23683.038133519261</v>
      </c>
      <c r="AK16" s="12">
        <f t="shared" si="10"/>
        <v>24393.529277524842</v>
      </c>
      <c r="AL16" s="12">
        <f t="shared" si="10"/>
        <v>25125.335155850589</v>
      </c>
      <c r="AM16" s="12">
        <f t="shared" si="10"/>
        <v>25879.095210526106</v>
      </c>
      <c r="AN16" s="12">
        <f t="shared" si="10"/>
        <v>26655.468066841891</v>
      </c>
      <c r="AO16" s="12">
        <f t="shared" si="10"/>
        <v>27455.132108847149</v>
      </c>
      <c r="AP16" s="12">
        <f t="shared" si="10"/>
        <v>28278.786072112562</v>
      </c>
      <c r="AQ16" s="12">
        <f t="shared" si="10"/>
        <v>29127.149654275941</v>
      </c>
      <c r="AR16" s="12">
        <f t="shared" si="10"/>
        <v>30000.964143904221</v>
      </c>
      <c r="AS16" s="12">
        <f t="shared" si="10"/>
        <v>30900.993068221349</v>
      </c>
      <c r="AT16" s="12">
        <f t="shared" si="10"/>
        <v>31828.022860267989</v>
      </c>
      <c r="AU16" s="12">
        <f t="shared" si="10"/>
        <v>32782.863546076034</v>
      </c>
      <c r="AV16" s="12">
        <f t="shared" si="10"/>
        <v>33766.349452458315</v>
      </c>
      <c r="AW16" s="12">
        <f t="shared" si="10"/>
        <v>34779.339936032062</v>
      </c>
      <c r="AX16" s="12">
        <f t="shared" si="10"/>
        <v>35822.720134113028</v>
      </c>
      <c r="AY16" s="12">
        <f t="shared" si="10"/>
        <v>36897.401738136417</v>
      </c>
    </row>
    <row r="17" spans="2:51" x14ac:dyDescent="0.2">
      <c r="H17" s="9"/>
      <c r="I17" s="9"/>
      <c r="J17" s="9"/>
      <c r="K17" s="9"/>
      <c r="L17" s="23"/>
      <c r="M17" s="32"/>
      <c r="N17" s="32"/>
      <c r="O17" s="32"/>
      <c r="P17" s="32"/>
    </row>
    <row r="18" spans="2:51" x14ac:dyDescent="0.2">
      <c r="B18" s="3"/>
      <c r="C18" s="3" t="s">
        <v>12</v>
      </c>
      <c r="H18" s="13">
        <f>SUM(H11:H16)</f>
        <v>33550</v>
      </c>
      <c r="I18" s="13">
        <f t="shared" ref="I18:AY18" si="11">SUM(I11:I16)</f>
        <v>35700</v>
      </c>
      <c r="J18" s="13">
        <f t="shared" si="11"/>
        <v>37850</v>
      </c>
      <c r="K18" s="13">
        <f t="shared" si="11"/>
        <v>40000</v>
      </c>
      <c r="L18" s="13">
        <f t="shared" si="11"/>
        <v>42150</v>
      </c>
      <c r="M18" s="13">
        <f t="shared" si="11"/>
        <v>44300</v>
      </c>
      <c r="N18" s="13">
        <f t="shared" si="11"/>
        <v>44945</v>
      </c>
      <c r="O18" s="13">
        <f t="shared" si="11"/>
        <v>45609.350000000006</v>
      </c>
      <c r="P18" s="13">
        <f t="shared" si="11"/>
        <v>46293.630499999999</v>
      </c>
      <c r="Q18" s="13">
        <f t="shared" si="11"/>
        <v>46998.439415000001</v>
      </c>
      <c r="R18" s="13">
        <f t="shared" si="11"/>
        <v>44124.392597450002</v>
      </c>
      <c r="S18" s="13">
        <f t="shared" si="11"/>
        <v>44872.124375373503</v>
      </c>
      <c r="T18" s="13">
        <f t="shared" si="11"/>
        <v>45642.288106634704</v>
      </c>
      <c r="U18" s="13">
        <f t="shared" si="11"/>
        <v>46435.556749833748</v>
      </c>
      <c r="V18" s="13">
        <f t="shared" si="11"/>
        <v>47252.623452328757</v>
      </c>
      <c r="W18" s="13">
        <f t="shared" si="11"/>
        <v>48094.202155898623</v>
      </c>
      <c r="X18" s="13">
        <f t="shared" si="11"/>
        <v>48961.028220575579</v>
      </c>
      <c r="Y18" s="13">
        <f t="shared" si="11"/>
        <v>49853.859067192854</v>
      </c>
      <c r="Z18" s="13">
        <f t="shared" si="11"/>
        <v>50773.474839208633</v>
      </c>
      <c r="AA18" s="13">
        <f t="shared" si="11"/>
        <v>51720.679084384901</v>
      </c>
      <c r="AB18" s="13">
        <f t="shared" si="11"/>
        <v>52696.299456916444</v>
      </c>
      <c r="AC18" s="13">
        <f t="shared" si="11"/>
        <v>53701.188440623941</v>
      </c>
      <c r="AD18" s="13">
        <f t="shared" si="11"/>
        <v>54736.224093842655</v>
      </c>
      <c r="AE18" s="13">
        <f t="shared" si="11"/>
        <v>55802.310816657933</v>
      </c>
      <c r="AF18" s="13">
        <f t="shared" si="11"/>
        <v>56900.380141157679</v>
      </c>
      <c r="AG18" s="13">
        <f t="shared" si="11"/>
        <v>58031.391545392413</v>
      </c>
      <c r="AH18" s="13">
        <f t="shared" si="11"/>
        <v>59196.333291754185</v>
      </c>
      <c r="AI18" s="13">
        <f t="shared" si="11"/>
        <v>60396.223290506816</v>
      </c>
      <c r="AJ18" s="13">
        <f t="shared" si="11"/>
        <v>61632.109989222008</v>
      </c>
      <c r="AK18" s="13">
        <f t="shared" si="11"/>
        <v>62905.073288898668</v>
      </c>
      <c r="AL18" s="13">
        <f t="shared" si="11"/>
        <v>46216.225487565636</v>
      </c>
      <c r="AM18" s="13">
        <f t="shared" si="11"/>
        <v>47566.712252192607</v>
      </c>
      <c r="AN18" s="13">
        <f t="shared" si="11"/>
        <v>48957.71361975839</v>
      </c>
      <c r="AO18" s="13">
        <f t="shared" si="11"/>
        <v>50390.44502835114</v>
      </c>
      <c r="AP18" s="13">
        <f t="shared" si="11"/>
        <v>51866.158379201675</v>
      </c>
      <c r="AQ18" s="13">
        <f t="shared" si="11"/>
        <v>53386.14313057773</v>
      </c>
      <c r="AR18" s="13">
        <f t="shared" si="11"/>
        <v>54951.727424495068</v>
      </c>
      <c r="AS18" s="13">
        <f t="shared" si="11"/>
        <v>56564.279247229919</v>
      </c>
      <c r="AT18" s="13">
        <f t="shared" si="11"/>
        <v>58225.207624646813</v>
      </c>
      <c r="AU18" s="13">
        <f t="shared" si="11"/>
        <v>59935.963853386231</v>
      </c>
      <c r="AV18" s="13">
        <f t="shared" si="11"/>
        <v>61698.042768987812</v>
      </c>
      <c r="AW18" s="13">
        <f t="shared" si="11"/>
        <v>63512.984052057443</v>
      </c>
      <c r="AX18" s="13">
        <f t="shared" si="11"/>
        <v>65382.373573619174</v>
      </c>
      <c r="AY18" s="13">
        <f t="shared" si="11"/>
        <v>67307.844780827756</v>
      </c>
    </row>
    <row r="19" spans="2:51" x14ac:dyDescent="0.2">
      <c r="H19" s="12"/>
      <c r="I19" s="12"/>
      <c r="J19" s="12"/>
      <c r="K19" s="12"/>
      <c r="L19" s="25"/>
      <c r="M19" s="12"/>
      <c r="N19" s="12"/>
      <c r="O19" s="12"/>
      <c r="P19" s="12"/>
    </row>
    <row r="20" spans="2:51" x14ac:dyDescent="0.2">
      <c r="B20" s="1" t="s">
        <v>13</v>
      </c>
      <c r="C20" s="1"/>
      <c r="D20" s="1"/>
      <c r="E20" s="1"/>
      <c r="F20" s="1"/>
      <c r="G20" s="1"/>
      <c r="H20" s="13">
        <f>H8-H18</f>
        <v>16450</v>
      </c>
      <c r="I20" s="13">
        <f t="shared" ref="I20:AY20" si="12">I8-I18</f>
        <v>24300</v>
      </c>
      <c r="J20" s="13">
        <f t="shared" si="12"/>
        <v>32150</v>
      </c>
      <c r="K20" s="13">
        <f t="shared" si="12"/>
        <v>40000</v>
      </c>
      <c r="L20" s="13">
        <f t="shared" si="12"/>
        <v>47850</v>
      </c>
      <c r="M20" s="13">
        <f t="shared" si="12"/>
        <v>55700</v>
      </c>
      <c r="N20" s="13">
        <f t="shared" si="12"/>
        <v>58055</v>
      </c>
      <c r="O20" s="13">
        <f t="shared" si="12"/>
        <v>60480.649999999994</v>
      </c>
      <c r="P20" s="13">
        <f t="shared" si="12"/>
        <v>62979.069499999998</v>
      </c>
      <c r="Q20" s="13">
        <f t="shared" si="12"/>
        <v>65552.441584999993</v>
      </c>
      <c r="R20" s="13">
        <f t="shared" si="12"/>
        <v>71803.01483254999</v>
      </c>
      <c r="S20" s="13">
        <f t="shared" si="12"/>
        <v>74533.105277526498</v>
      </c>
      <c r="T20" s="13">
        <f t="shared" si="12"/>
        <v>77345.098435852298</v>
      </c>
      <c r="U20" s="13">
        <f t="shared" si="12"/>
        <v>80241.451388927861</v>
      </c>
      <c r="V20" s="13">
        <f t="shared" si="12"/>
        <v>83224.69493059571</v>
      </c>
      <c r="W20" s="13">
        <f t="shared" si="12"/>
        <v>86297.43577851358</v>
      </c>
      <c r="X20" s="13">
        <f t="shared" si="12"/>
        <v>89462.358851868994</v>
      </c>
      <c r="Y20" s="13">
        <f t="shared" si="12"/>
        <v>92722.229617425066</v>
      </c>
      <c r="Z20" s="13">
        <f t="shared" si="12"/>
        <v>96079.896505947821</v>
      </c>
      <c r="AA20" s="13">
        <f t="shared" si="12"/>
        <v>99538.293401126255</v>
      </c>
      <c r="AB20" s="13">
        <f t="shared" si="12"/>
        <v>103100.44220316004</v>
      </c>
      <c r="AC20" s="13">
        <f t="shared" si="12"/>
        <v>106769.45546925486</v>
      </c>
      <c r="AD20" s="13">
        <f t="shared" si="12"/>
        <v>110548.53913333251</v>
      </c>
      <c r="AE20" s="13">
        <f t="shared" si="12"/>
        <v>114440.99530733249</v>
      </c>
      <c r="AF20" s="13">
        <f t="shared" si="12"/>
        <v>118450.22516655244</v>
      </c>
      <c r="AG20" s="13">
        <f t="shared" si="12"/>
        <v>122579.73192154903</v>
      </c>
      <c r="AH20" s="13">
        <f t="shared" si="12"/>
        <v>126833.12387919551</v>
      </c>
      <c r="AI20" s="13">
        <f t="shared" si="12"/>
        <v>131214.11759557138</v>
      </c>
      <c r="AJ20" s="13">
        <f t="shared" si="12"/>
        <v>135726.54112343851</v>
      </c>
      <c r="AK20" s="13">
        <f t="shared" si="12"/>
        <v>140374.33735714166</v>
      </c>
      <c r="AL20" s="13">
        <f t="shared" si="12"/>
        <v>163161.56747785595</v>
      </c>
      <c r="AM20" s="13">
        <f t="shared" si="12"/>
        <v>168092.41450219162</v>
      </c>
      <c r="AN20" s="13">
        <f t="shared" si="12"/>
        <v>173171.18693725736</v>
      </c>
      <c r="AO20" s="13">
        <f t="shared" si="12"/>
        <v>178402.32254537509</v>
      </c>
      <c r="AP20" s="13">
        <f t="shared" si="12"/>
        <v>183790.39222173637</v>
      </c>
      <c r="AQ20" s="13">
        <f t="shared" si="12"/>
        <v>189340.10398838847</v>
      </c>
      <c r="AR20" s="13">
        <f t="shared" si="12"/>
        <v>195056.30710804011</v>
      </c>
      <c r="AS20" s="13">
        <f t="shared" si="12"/>
        <v>200943.99632128133</v>
      </c>
      <c r="AT20" s="13">
        <f t="shared" si="12"/>
        <v>207008.31621091979</v>
      </c>
      <c r="AU20" s="13">
        <f t="shared" si="12"/>
        <v>213254.5656972474</v>
      </c>
      <c r="AV20" s="13">
        <f t="shared" si="12"/>
        <v>219688.2026681648</v>
      </c>
      <c r="AW20" s="13">
        <f t="shared" si="12"/>
        <v>226314.84874820977</v>
      </c>
      <c r="AX20" s="13">
        <f t="shared" si="12"/>
        <v>233140.29421065608</v>
      </c>
      <c r="AY20" s="13">
        <f t="shared" si="12"/>
        <v>240170.50303697574</v>
      </c>
    </row>
    <row r="21" spans="2:51" x14ac:dyDescent="0.2">
      <c r="H21" s="12"/>
      <c r="I21" s="12"/>
      <c r="J21" s="12"/>
      <c r="K21" s="12"/>
      <c r="L21" s="25"/>
      <c r="M21" s="12"/>
      <c r="N21" s="12"/>
      <c r="O21" s="12"/>
      <c r="P21" s="12"/>
    </row>
    <row r="22" spans="2:51" x14ac:dyDescent="0.2">
      <c r="B22" s="2" t="s">
        <v>0</v>
      </c>
      <c r="H22" s="10">
        <f>28%*H6</f>
        <v>14000.000000000002</v>
      </c>
      <c r="I22" s="10">
        <f t="shared" ref="I22:L22" si="13">28%*I6</f>
        <v>16800</v>
      </c>
      <c r="J22" s="10">
        <f t="shared" si="13"/>
        <v>19600.000000000004</v>
      </c>
      <c r="K22" s="10">
        <f t="shared" si="13"/>
        <v>22400.000000000004</v>
      </c>
      <c r="L22" s="24">
        <f t="shared" si="13"/>
        <v>25200.000000000004</v>
      </c>
      <c r="M22" s="12">
        <f>M38*M6</f>
        <v>28000.000000000004</v>
      </c>
      <c r="N22" s="12">
        <f t="shared" ref="N22:AY22" si="14">N38*N6</f>
        <v>28840.000000000004</v>
      </c>
      <c r="O22" s="12">
        <f t="shared" si="14"/>
        <v>29705.200000000004</v>
      </c>
      <c r="P22" s="12">
        <f t="shared" si="14"/>
        <v>30596.356000000003</v>
      </c>
      <c r="Q22" s="12">
        <f t="shared" si="14"/>
        <v>31514.24668</v>
      </c>
      <c r="R22" s="12">
        <f t="shared" si="14"/>
        <v>32459.6740804</v>
      </c>
      <c r="S22" s="12">
        <f t="shared" si="14"/>
        <v>33433.464302812004</v>
      </c>
      <c r="T22" s="12">
        <f t="shared" si="14"/>
        <v>34436.468231896361</v>
      </c>
      <c r="U22" s="12">
        <f t="shared" si="14"/>
        <v>35469.562278853256</v>
      </c>
      <c r="V22" s="12">
        <f t="shared" si="14"/>
        <v>36533.649147218857</v>
      </c>
      <c r="W22" s="12">
        <f t="shared" si="14"/>
        <v>37629.658621635419</v>
      </c>
      <c r="X22" s="12">
        <f t="shared" si="14"/>
        <v>38758.548380284483</v>
      </c>
      <c r="Y22" s="12">
        <f t="shared" si="14"/>
        <v>39921.304831693022</v>
      </c>
      <c r="Z22" s="12">
        <f t="shared" si="14"/>
        <v>41118.943976643808</v>
      </c>
      <c r="AA22" s="12">
        <f t="shared" si="14"/>
        <v>42352.512295943125</v>
      </c>
      <c r="AB22" s="12">
        <f t="shared" si="14"/>
        <v>43623.087664821418</v>
      </c>
      <c r="AC22" s="12">
        <f t="shared" si="14"/>
        <v>44931.780294766068</v>
      </c>
      <c r="AD22" s="12">
        <f t="shared" si="14"/>
        <v>46279.733703609054</v>
      </c>
      <c r="AE22" s="12">
        <f t="shared" si="14"/>
        <v>47668.125714717324</v>
      </c>
      <c r="AF22" s="12">
        <f t="shared" si="14"/>
        <v>49098.16948615884</v>
      </c>
      <c r="AG22" s="12">
        <f t="shared" si="14"/>
        <v>50571.114570743608</v>
      </c>
      <c r="AH22" s="12">
        <f t="shared" si="14"/>
        <v>52088.248007865921</v>
      </c>
      <c r="AI22" s="12">
        <f t="shared" si="14"/>
        <v>53650.895448101903</v>
      </c>
      <c r="AJ22" s="12">
        <f t="shared" si="14"/>
        <v>55260.422311544957</v>
      </c>
      <c r="AK22" s="12">
        <f t="shared" si="14"/>
        <v>56918.234980891299</v>
      </c>
      <c r="AL22" s="12">
        <f t="shared" si="14"/>
        <v>58625.782030318042</v>
      </c>
      <c r="AM22" s="12">
        <f t="shared" si="14"/>
        <v>60384.555491227591</v>
      </c>
      <c r="AN22" s="12">
        <f t="shared" si="14"/>
        <v>62196.092155964419</v>
      </c>
      <c r="AO22" s="12">
        <f t="shared" si="14"/>
        <v>64061.974920643355</v>
      </c>
      <c r="AP22" s="12">
        <f t="shared" si="14"/>
        <v>65983.834168262649</v>
      </c>
      <c r="AQ22" s="12">
        <f t="shared" si="14"/>
        <v>67963.34919331054</v>
      </c>
      <c r="AR22" s="12">
        <f t="shared" si="14"/>
        <v>70002.249669109864</v>
      </c>
      <c r="AS22" s="12">
        <f t="shared" si="14"/>
        <v>72102.317159183163</v>
      </c>
      <c r="AT22" s="12">
        <f t="shared" si="14"/>
        <v>74265.386673958652</v>
      </c>
      <c r="AU22" s="12">
        <f t="shared" si="14"/>
        <v>76493.348274177421</v>
      </c>
      <c r="AV22" s="12">
        <f t="shared" si="14"/>
        <v>78788.148722402737</v>
      </c>
      <c r="AW22" s="12">
        <f t="shared" si="14"/>
        <v>81151.793184074821</v>
      </c>
      <c r="AX22" s="12">
        <f t="shared" si="14"/>
        <v>83586.346979597074</v>
      </c>
      <c r="AY22" s="12">
        <f t="shared" si="14"/>
        <v>86093.937388984981</v>
      </c>
    </row>
    <row r="23" spans="2:51" x14ac:dyDescent="0.2">
      <c r="H23" s="43"/>
      <c r="I23" s="12"/>
      <c r="J23" s="12"/>
      <c r="K23" s="12"/>
      <c r="L23" s="25"/>
      <c r="M23" s="12"/>
      <c r="N23" s="12"/>
      <c r="O23" s="12"/>
      <c r="P23" s="12"/>
    </row>
    <row r="24" spans="2:51" x14ac:dyDescent="0.2">
      <c r="B24" s="1" t="s">
        <v>3</v>
      </c>
      <c r="C24" s="1"/>
      <c r="D24" s="1"/>
      <c r="E24" s="1"/>
      <c r="F24" s="1"/>
      <c r="G24" s="1"/>
      <c r="H24" s="36">
        <f>H20-H22</f>
        <v>2449.9999999999982</v>
      </c>
      <c r="I24" s="36">
        <f t="shared" ref="I24:AY24" si="15">I20-I22</f>
        <v>7500</v>
      </c>
      <c r="J24" s="36">
        <f t="shared" si="15"/>
        <v>12549.999999999996</v>
      </c>
      <c r="K24" s="36">
        <f t="shared" si="15"/>
        <v>17599.999999999996</v>
      </c>
      <c r="L24" s="36">
        <f t="shared" si="15"/>
        <v>22649.999999999996</v>
      </c>
      <c r="M24" s="36">
        <f t="shared" si="15"/>
        <v>27699.999999999996</v>
      </c>
      <c r="N24" s="36">
        <f t="shared" si="15"/>
        <v>29214.999999999996</v>
      </c>
      <c r="O24" s="36">
        <f t="shared" si="15"/>
        <v>30775.44999999999</v>
      </c>
      <c r="P24" s="36">
        <f t="shared" si="15"/>
        <v>32382.713499999994</v>
      </c>
      <c r="Q24" s="36">
        <f t="shared" si="15"/>
        <v>34038.194904999997</v>
      </c>
      <c r="R24" s="36">
        <f t="shared" si="15"/>
        <v>39343.34075214999</v>
      </c>
      <c r="S24" s="36">
        <f t="shared" si="15"/>
        <v>41099.640974714493</v>
      </c>
      <c r="T24" s="36">
        <f t="shared" si="15"/>
        <v>42908.630203955938</v>
      </c>
      <c r="U24" s="36">
        <f t="shared" si="15"/>
        <v>44771.889110074604</v>
      </c>
      <c r="V24" s="36">
        <f t="shared" si="15"/>
        <v>46691.045783376852</v>
      </c>
      <c r="W24" s="36">
        <f t="shared" si="15"/>
        <v>48667.777156878161</v>
      </c>
      <c r="X24" s="36">
        <f t="shared" si="15"/>
        <v>50703.810471584511</v>
      </c>
      <c r="Y24" s="36">
        <f t="shared" si="15"/>
        <v>52800.924785732044</v>
      </c>
      <c r="Z24" s="36">
        <f t="shared" si="15"/>
        <v>54960.952529304013</v>
      </c>
      <c r="AA24" s="36">
        <f t="shared" si="15"/>
        <v>57185.78110518313</v>
      </c>
      <c r="AB24" s="36">
        <f t="shared" si="15"/>
        <v>59477.354538338623</v>
      </c>
      <c r="AC24" s="36">
        <f t="shared" si="15"/>
        <v>61837.675174488788</v>
      </c>
      <c r="AD24" s="36">
        <f t="shared" si="15"/>
        <v>64268.805429723456</v>
      </c>
      <c r="AE24" s="36">
        <f t="shared" si="15"/>
        <v>66772.86959261517</v>
      </c>
      <c r="AF24" s="36">
        <f t="shared" si="15"/>
        <v>69352.055680393591</v>
      </c>
      <c r="AG24" s="36">
        <f t="shared" si="15"/>
        <v>72008.61735080542</v>
      </c>
      <c r="AH24" s="36">
        <f t="shared" si="15"/>
        <v>74744.875871329597</v>
      </c>
      <c r="AI24" s="36">
        <f t="shared" si="15"/>
        <v>77563.222147469482</v>
      </c>
      <c r="AJ24" s="36">
        <f t="shared" si="15"/>
        <v>80466.118811893553</v>
      </c>
      <c r="AK24" s="36">
        <f t="shared" si="15"/>
        <v>83456.102376250361</v>
      </c>
      <c r="AL24" s="36">
        <f t="shared" si="15"/>
        <v>104535.7854475379</v>
      </c>
      <c r="AM24" s="36">
        <f t="shared" si="15"/>
        <v>107707.85901096402</v>
      </c>
      <c r="AN24" s="36">
        <f t="shared" si="15"/>
        <v>110975.09478129294</v>
      </c>
      <c r="AO24" s="36">
        <f t="shared" si="15"/>
        <v>114340.34762473174</v>
      </c>
      <c r="AP24" s="36">
        <f t="shared" si="15"/>
        <v>117806.55805347372</v>
      </c>
      <c r="AQ24" s="36">
        <f t="shared" si="15"/>
        <v>121376.75479507793</v>
      </c>
      <c r="AR24" s="36">
        <f t="shared" si="15"/>
        <v>125054.05743893025</v>
      </c>
      <c r="AS24" s="36">
        <f t="shared" si="15"/>
        <v>128841.67916209817</v>
      </c>
      <c r="AT24" s="36">
        <f t="shared" si="15"/>
        <v>132742.92953696114</v>
      </c>
      <c r="AU24" s="36">
        <f t="shared" si="15"/>
        <v>136761.21742306999</v>
      </c>
      <c r="AV24" s="36">
        <f t="shared" si="15"/>
        <v>140900.05394576205</v>
      </c>
      <c r="AW24" s="36">
        <f t="shared" si="15"/>
        <v>145163.05556413496</v>
      </c>
      <c r="AX24" s="36">
        <f t="shared" si="15"/>
        <v>149553.94723105902</v>
      </c>
      <c r="AY24" s="36">
        <f t="shared" si="15"/>
        <v>154076.56564799076</v>
      </c>
    </row>
    <row r="25" spans="2:51" x14ac:dyDescent="0.2">
      <c r="L25" s="26"/>
    </row>
    <row r="26" spans="2:51" x14ac:dyDescent="0.2">
      <c r="B26" s="2" t="s">
        <v>30</v>
      </c>
      <c r="H26" s="10">
        <v>2449.9999999999982</v>
      </c>
      <c r="I26" s="10">
        <v>9974.4999999999982</v>
      </c>
      <c r="J26" s="10">
        <v>22624.244999999995</v>
      </c>
      <c r="K26" s="10">
        <v>40450.487449999993</v>
      </c>
      <c r="L26" s="24">
        <v>63504.992324499995</v>
      </c>
      <c r="M26" s="8">
        <f>L26*(1+M39)+M24</f>
        <v>91840.04224774499</v>
      </c>
      <c r="N26" s="8">
        <f t="shared" ref="N26:AY26" si="16">M26*(1+N39)+N24</f>
        <v>121973.44267022244</v>
      </c>
      <c r="O26" s="8">
        <f t="shared" si="16"/>
        <v>153968.62709692467</v>
      </c>
      <c r="P26" s="8">
        <f t="shared" si="16"/>
        <v>187891.0268678939</v>
      </c>
      <c r="Q26" s="8">
        <f t="shared" si="16"/>
        <v>223808.13204157283</v>
      </c>
      <c r="R26" s="8">
        <f t="shared" si="16"/>
        <v>265389.55411413853</v>
      </c>
      <c r="S26" s="8">
        <f t="shared" si="16"/>
        <v>309143.0906299944</v>
      </c>
      <c r="T26" s="8">
        <f t="shared" si="16"/>
        <v>355143.15174025029</v>
      </c>
      <c r="U26" s="8">
        <f t="shared" si="16"/>
        <v>403466.47236772743</v>
      </c>
      <c r="V26" s="8">
        <f t="shared" si="16"/>
        <v>454192.18287478155</v>
      </c>
      <c r="W26" s="8">
        <f t="shared" si="16"/>
        <v>507401.88186040753</v>
      </c>
      <c r="X26" s="8">
        <f t="shared" si="16"/>
        <v>563179.71115059615</v>
      </c>
      <c r="Y26" s="8">
        <f t="shared" si="16"/>
        <v>621612.4330478342</v>
      </c>
      <c r="Z26" s="8">
        <f t="shared" si="16"/>
        <v>682789.50990761654</v>
      </c>
      <c r="AA26" s="8">
        <f t="shared" si="16"/>
        <v>746803.18611187593</v>
      </c>
      <c r="AB26" s="8">
        <f t="shared" si="16"/>
        <v>813748.57251133327</v>
      </c>
      <c r="AC26" s="8">
        <f t="shared" si="16"/>
        <v>883723.73341093538</v>
      </c>
      <c r="AD26" s="8">
        <f t="shared" si="16"/>
        <v>956829.77617476822</v>
      </c>
      <c r="AE26" s="8">
        <f t="shared" si="16"/>
        <v>1033170.9435291311</v>
      </c>
      <c r="AF26" s="8">
        <f t="shared" si="16"/>
        <v>1112854.7086448162</v>
      </c>
      <c r="AG26" s="8">
        <f t="shared" si="16"/>
        <v>1195991.8730820697</v>
      </c>
      <c r="AH26" s="8">
        <f t="shared" si="16"/>
        <v>1282696.66768422</v>
      </c>
      <c r="AI26" s="8">
        <f t="shared" si="16"/>
        <v>1373086.8565085316</v>
      </c>
      <c r="AJ26" s="8">
        <f t="shared" si="16"/>
        <v>1467283.8438855105</v>
      </c>
      <c r="AK26" s="8">
        <f t="shared" si="16"/>
        <v>1565412.7847006158</v>
      </c>
      <c r="AL26" s="8">
        <f t="shared" si="16"/>
        <v>1685602.6979951598</v>
      </c>
      <c r="AM26" s="8">
        <f t="shared" si="16"/>
        <v>1810166.5839860754</v>
      </c>
      <c r="AN26" s="8">
        <f t="shared" si="16"/>
        <v>1939243.3446072289</v>
      </c>
      <c r="AO26" s="8">
        <f t="shared" si="16"/>
        <v>2072976.1256780329</v>
      </c>
      <c r="AP26" s="8">
        <f t="shared" si="16"/>
        <v>2211512.4449882871</v>
      </c>
      <c r="AQ26" s="8">
        <f t="shared" si="16"/>
        <v>2355004.3242332479</v>
      </c>
      <c r="AR26" s="8">
        <f t="shared" si="16"/>
        <v>2503608.4249145105</v>
      </c>
      <c r="AS26" s="8">
        <f t="shared" si="16"/>
        <v>2657486.1883257539</v>
      </c>
      <c r="AT26" s="8">
        <f t="shared" si="16"/>
        <v>2816803.9797459724</v>
      </c>
      <c r="AU26" s="8">
        <f t="shared" si="16"/>
        <v>2981733.2369665019</v>
      </c>
      <c r="AV26" s="8">
        <f t="shared" si="16"/>
        <v>3152450.6232819292</v>
      </c>
      <c r="AW26" s="8">
        <f t="shared" si="16"/>
        <v>3329138.1850788835</v>
      </c>
      <c r="AX26" s="8">
        <f t="shared" si="16"/>
        <v>3511983.5141607313</v>
      </c>
      <c r="AY26" s="45">
        <f t="shared" si="16"/>
        <v>3701179.9149503298</v>
      </c>
    </row>
    <row r="27" spans="2:51" x14ac:dyDescent="0.2">
      <c r="I27" s="44"/>
      <c r="L27" s="21"/>
    </row>
    <row r="28" spans="2:51" x14ac:dyDescent="0.2">
      <c r="L28" s="21"/>
    </row>
    <row r="29" spans="2:51" x14ac:dyDescent="0.2">
      <c r="B29" s="5" t="s">
        <v>14</v>
      </c>
      <c r="L29" s="21"/>
    </row>
    <row r="30" spans="2:51" x14ac:dyDescent="0.2">
      <c r="L30" s="21"/>
    </row>
    <row r="31" spans="2:51" x14ac:dyDescent="0.2">
      <c r="C31" s="2" t="s">
        <v>21</v>
      </c>
      <c r="H31" s="37"/>
      <c r="I31" s="11">
        <f>(I6-H6)/H6</f>
        <v>0.2</v>
      </c>
      <c r="J31" s="11">
        <f t="shared" ref="J31:M31" si="17">(J6-I6)/I6</f>
        <v>0.16666666666666666</v>
      </c>
      <c r="K31" s="11">
        <f t="shared" si="17"/>
        <v>0.14285714285714285</v>
      </c>
      <c r="L31" s="11">
        <f t="shared" si="17"/>
        <v>0.125</v>
      </c>
      <c r="M31" s="11">
        <f t="shared" si="17"/>
        <v>0.1111111111111111</v>
      </c>
      <c r="N31" s="41">
        <v>0.03</v>
      </c>
      <c r="O31" s="42">
        <f>N31</f>
        <v>0.03</v>
      </c>
      <c r="P31" s="42">
        <f t="shared" ref="P31:AY31" si="18">O31</f>
        <v>0.03</v>
      </c>
      <c r="Q31" s="42">
        <f t="shared" si="18"/>
        <v>0.03</v>
      </c>
      <c r="R31" s="42">
        <f t="shared" si="18"/>
        <v>0.03</v>
      </c>
      <c r="S31" s="42">
        <f t="shared" si="18"/>
        <v>0.03</v>
      </c>
      <c r="T31" s="42">
        <f t="shared" si="18"/>
        <v>0.03</v>
      </c>
      <c r="U31" s="42">
        <f t="shared" si="18"/>
        <v>0.03</v>
      </c>
      <c r="V31" s="42">
        <f t="shared" si="18"/>
        <v>0.03</v>
      </c>
      <c r="W31" s="42">
        <f t="shared" si="18"/>
        <v>0.03</v>
      </c>
      <c r="X31" s="42">
        <f t="shared" si="18"/>
        <v>0.03</v>
      </c>
      <c r="Y31" s="42">
        <f t="shared" si="18"/>
        <v>0.03</v>
      </c>
      <c r="Z31" s="42">
        <f t="shared" si="18"/>
        <v>0.03</v>
      </c>
      <c r="AA31" s="42">
        <f t="shared" si="18"/>
        <v>0.03</v>
      </c>
      <c r="AB31" s="42">
        <f t="shared" si="18"/>
        <v>0.03</v>
      </c>
      <c r="AC31" s="42">
        <f t="shared" si="18"/>
        <v>0.03</v>
      </c>
      <c r="AD31" s="42">
        <f t="shared" si="18"/>
        <v>0.03</v>
      </c>
      <c r="AE31" s="42">
        <f t="shared" si="18"/>
        <v>0.03</v>
      </c>
      <c r="AF31" s="42">
        <f t="shared" si="18"/>
        <v>0.03</v>
      </c>
      <c r="AG31" s="42">
        <f t="shared" si="18"/>
        <v>0.03</v>
      </c>
      <c r="AH31" s="42">
        <f t="shared" si="18"/>
        <v>0.03</v>
      </c>
      <c r="AI31" s="42">
        <f t="shared" si="18"/>
        <v>0.03</v>
      </c>
      <c r="AJ31" s="42">
        <f t="shared" si="18"/>
        <v>0.03</v>
      </c>
      <c r="AK31" s="42">
        <f t="shared" si="18"/>
        <v>0.03</v>
      </c>
      <c r="AL31" s="42">
        <f t="shared" si="18"/>
        <v>0.03</v>
      </c>
      <c r="AM31" s="42">
        <f t="shared" si="18"/>
        <v>0.03</v>
      </c>
      <c r="AN31" s="42">
        <f t="shared" si="18"/>
        <v>0.03</v>
      </c>
      <c r="AO31" s="42">
        <f t="shared" si="18"/>
        <v>0.03</v>
      </c>
      <c r="AP31" s="42">
        <f t="shared" si="18"/>
        <v>0.03</v>
      </c>
      <c r="AQ31" s="42">
        <f t="shared" si="18"/>
        <v>0.03</v>
      </c>
      <c r="AR31" s="42">
        <f t="shared" si="18"/>
        <v>0.03</v>
      </c>
      <c r="AS31" s="42">
        <f t="shared" si="18"/>
        <v>0.03</v>
      </c>
      <c r="AT31" s="42">
        <f t="shared" si="18"/>
        <v>0.03</v>
      </c>
      <c r="AU31" s="42">
        <f t="shared" si="18"/>
        <v>0.03</v>
      </c>
      <c r="AV31" s="42">
        <f t="shared" si="18"/>
        <v>0.03</v>
      </c>
      <c r="AW31" s="42">
        <f t="shared" si="18"/>
        <v>0.03</v>
      </c>
      <c r="AX31" s="42">
        <f t="shared" si="18"/>
        <v>0.03</v>
      </c>
      <c r="AY31" s="42">
        <f t="shared" si="18"/>
        <v>0.03</v>
      </c>
    </row>
    <row r="32" spans="2:51" x14ac:dyDescent="0.2">
      <c r="C32" s="2" t="s">
        <v>23</v>
      </c>
      <c r="H32" s="11">
        <f>H11/H6</f>
        <v>0.36</v>
      </c>
      <c r="I32" s="11">
        <f t="shared" ref="I32:L32" si="19">I11/I6</f>
        <v>0.3</v>
      </c>
      <c r="J32" s="11">
        <f t="shared" si="19"/>
        <v>0.25714285714285712</v>
      </c>
      <c r="K32" s="11">
        <f t="shared" si="19"/>
        <v>0.22500000000000001</v>
      </c>
      <c r="L32" s="11">
        <f t="shared" si="19"/>
        <v>0.2</v>
      </c>
      <c r="M32" s="2" t="s">
        <v>31</v>
      </c>
    </row>
    <row r="33" spans="3:51" x14ac:dyDescent="0.2">
      <c r="C33" s="2" t="s">
        <v>22</v>
      </c>
      <c r="H33" s="11">
        <f>H12/H6</f>
        <v>7.1999999999999995E-2</v>
      </c>
      <c r="I33" s="11">
        <f t="shared" ref="I33:L33" si="20">I12/I6</f>
        <v>0.06</v>
      </c>
      <c r="J33" s="11">
        <f t="shared" si="20"/>
        <v>5.1428571428571428E-2</v>
      </c>
      <c r="K33" s="11">
        <f t="shared" si="20"/>
        <v>4.4999999999999998E-2</v>
      </c>
      <c r="L33" s="11">
        <f t="shared" si="20"/>
        <v>0.04</v>
      </c>
      <c r="M33" s="2" t="s">
        <v>31</v>
      </c>
    </row>
    <row r="34" spans="3:51" x14ac:dyDescent="0.2">
      <c r="C34" s="2" t="s">
        <v>24</v>
      </c>
      <c r="H34" s="11">
        <f>H13/H6</f>
        <v>5.0000000000000001E-3</v>
      </c>
      <c r="I34" s="11">
        <f t="shared" ref="I34:L34" si="21">I13/I6</f>
        <v>5.0000000000000001E-3</v>
      </c>
      <c r="J34" s="11">
        <f t="shared" si="21"/>
        <v>5.0000000000000001E-3</v>
      </c>
      <c r="K34" s="11">
        <f t="shared" si="21"/>
        <v>5.0000000000000001E-3</v>
      </c>
      <c r="L34" s="11">
        <f t="shared" si="21"/>
        <v>5.0000000000000001E-3</v>
      </c>
      <c r="M34" s="41">
        <v>5.0000000000000001E-3</v>
      </c>
      <c r="N34" s="41">
        <v>5.0000000000000001E-3</v>
      </c>
      <c r="O34" s="41">
        <v>5.0000000000000001E-3</v>
      </c>
      <c r="P34" s="41">
        <v>5.0000000000000001E-3</v>
      </c>
      <c r="Q34" s="41">
        <v>5.0000000000000001E-3</v>
      </c>
      <c r="R34" s="41">
        <v>5.0000000000000001E-3</v>
      </c>
      <c r="S34" s="41">
        <v>5.0000000000000001E-3</v>
      </c>
      <c r="T34" s="41">
        <v>5.0000000000000001E-3</v>
      </c>
      <c r="U34" s="41">
        <v>5.0000000000000001E-3</v>
      </c>
      <c r="V34" s="41">
        <v>5.0000000000000001E-3</v>
      </c>
      <c r="W34" s="41">
        <v>5.0000000000000001E-3</v>
      </c>
      <c r="X34" s="41">
        <v>5.0000000000000001E-3</v>
      </c>
      <c r="Y34" s="41">
        <v>5.0000000000000001E-3</v>
      </c>
      <c r="Z34" s="41">
        <v>5.0000000000000001E-3</v>
      </c>
      <c r="AA34" s="41">
        <v>5.0000000000000001E-3</v>
      </c>
      <c r="AB34" s="41">
        <v>5.0000000000000001E-3</v>
      </c>
      <c r="AC34" s="41">
        <v>5.0000000000000001E-3</v>
      </c>
      <c r="AD34" s="41">
        <v>5.0000000000000001E-3</v>
      </c>
      <c r="AE34" s="41">
        <v>5.0000000000000001E-3</v>
      </c>
      <c r="AF34" s="41">
        <v>5.0000000000000001E-3</v>
      </c>
      <c r="AG34" s="41">
        <v>5.0000000000000001E-3</v>
      </c>
      <c r="AH34" s="41">
        <v>5.0000000000000001E-3</v>
      </c>
      <c r="AI34" s="41">
        <v>5.0000000000000001E-3</v>
      </c>
      <c r="AJ34" s="41">
        <v>5.0000000000000001E-3</v>
      </c>
      <c r="AK34" s="41">
        <v>5.0000000000000001E-3</v>
      </c>
      <c r="AL34" s="41">
        <v>5.0000000000000001E-3</v>
      </c>
      <c r="AM34" s="41">
        <v>5.0000000000000001E-3</v>
      </c>
      <c r="AN34" s="41">
        <v>5.0000000000000001E-3</v>
      </c>
      <c r="AO34" s="41">
        <v>5.0000000000000001E-3</v>
      </c>
      <c r="AP34" s="41">
        <v>5.0000000000000001E-3</v>
      </c>
      <c r="AQ34" s="41">
        <v>5.0000000000000001E-3</v>
      </c>
      <c r="AR34" s="41">
        <v>5.0000000000000001E-3</v>
      </c>
      <c r="AS34" s="41">
        <v>5.0000000000000001E-3</v>
      </c>
      <c r="AT34" s="41">
        <v>5.0000000000000001E-3</v>
      </c>
      <c r="AU34" s="41">
        <v>5.0000000000000001E-3</v>
      </c>
      <c r="AV34" s="41">
        <v>5.0000000000000001E-3</v>
      </c>
      <c r="AW34" s="41">
        <v>5.0000000000000001E-3</v>
      </c>
      <c r="AX34" s="41">
        <v>5.0000000000000001E-3</v>
      </c>
      <c r="AY34" s="41">
        <v>5.0000000000000001E-3</v>
      </c>
    </row>
    <row r="35" spans="3:51" x14ac:dyDescent="0.2">
      <c r="C35" s="2" t="s">
        <v>25</v>
      </c>
      <c r="H35" s="11">
        <f>H14/H6</f>
        <v>0.09</v>
      </c>
      <c r="I35" s="11">
        <f t="shared" ref="I35:L35" si="22">I14/I6</f>
        <v>0.09</v>
      </c>
      <c r="J35" s="11">
        <f t="shared" si="22"/>
        <v>0.09</v>
      </c>
      <c r="K35" s="11">
        <f t="shared" si="22"/>
        <v>0.09</v>
      </c>
      <c r="L35" s="11">
        <f t="shared" si="22"/>
        <v>0.09</v>
      </c>
      <c r="M35" s="41">
        <v>0.09</v>
      </c>
      <c r="N35" s="41">
        <v>0.09</v>
      </c>
      <c r="O35" s="41">
        <v>0.09</v>
      </c>
      <c r="P35" s="41">
        <v>0.09</v>
      </c>
      <c r="Q35" s="41">
        <v>0.09</v>
      </c>
      <c r="R35" s="41">
        <v>0.09</v>
      </c>
      <c r="S35" s="41">
        <v>0.09</v>
      </c>
      <c r="T35" s="41">
        <v>0.09</v>
      </c>
      <c r="U35" s="41">
        <v>0.09</v>
      </c>
      <c r="V35" s="41">
        <v>0.09</v>
      </c>
      <c r="W35" s="41">
        <v>0.09</v>
      </c>
      <c r="X35" s="41">
        <v>0.09</v>
      </c>
      <c r="Y35" s="41">
        <v>0.09</v>
      </c>
      <c r="Z35" s="41">
        <v>0.09</v>
      </c>
      <c r="AA35" s="41">
        <v>0.09</v>
      </c>
      <c r="AB35" s="41">
        <v>0.09</v>
      </c>
      <c r="AC35" s="41">
        <v>0.09</v>
      </c>
      <c r="AD35" s="41">
        <v>0.09</v>
      </c>
      <c r="AE35" s="41">
        <v>0.09</v>
      </c>
      <c r="AF35" s="41">
        <v>0.09</v>
      </c>
      <c r="AG35" s="41">
        <v>0.09</v>
      </c>
      <c r="AH35" s="41">
        <v>0.09</v>
      </c>
      <c r="AI35" s="41">
        <v>0.09</v>
      </c>
      <c r="AJ35" s="41">
        <v>0.09</v>
      </c>
      <c r="AK35" s="41">
        <v>0.09</v>
      </c>
      <c r="AL35" s="41">
        <v>0.09</v>
      </c>
      <c r="AM35" s="41">
        <v>0.09</v>
      </c>
      <c r="AN35" s="41">
        <v>0.09</v>
      </c>
      <c r="AO35" s="41">
        <v>0.09</v>
      </c>
      <c r="AP35" s="41">
        <v>0.09</v>
      </c>
      <c r="AQ35" s="41">
        <v>0.09</v>
      </c>
      <c r="AR35" s="41">
        <v>0.09</v>
      </c>
      <c r="AS35" s="41">
        <v>0.09</v>
      </c>
      <c r="AT35" s="41">
        <v>0.09</v>
      </c>
      <c r="AU35" s="41">
        <v>0.09</v>
      </c>
      <c r="AV35" s="41">
        <v>0.09</v>
      </c>
      <c r="AW35" s="41">
        <v>0.09</v>
      </c>
      <c r="AX35" s="41">
        <v>0.09</v>
      </c>
      <c r="AY35" s="41">
        <v>0.09</v>
      </c>
    </row>
    <row r="36" spans="3:51" x14ac:dyDescent="0.2">
      <c r="C36" s="2" t="s">
        <v>26</v>
      </c>
      <c r="H36" s="11">
        <f>H15/H6</f>
        <v>2.4E-2</v>
      </c>
      <c r="I36" s="11">
        <f t="shared" ref="I36:L36" si="23">I15/I6</f>
        <v>0.02</v>
      </c>
      <c r="J36" s="11">
        <f t="shared" si="23"/>
        <v>1.7142857142857144E-2</v>
      </c>
      <c r="K36" s="11">
        <f t="shared" si="23"/>
        <v>1.4999999999999999E-2</v>
      </c>
      <c r="L36" s="11">
        <f t="shared" si="23"/>
        <v>1.3333333333333334E-2</v>
      </c>
      <c r="M36" s="2" t="s">
        <v>31</v>
      </c>
    </row>
    <row r="37" spans="3:51" x14ac:dyDescent="0.2">
      <c r="C37" s="2" t="s">
        <v>27</v>
      </c>
      <c r="H37" s="11">
        <f>H16/H6</f>
        <v>0.12</v>
      </c>
      <c r="I37" s="11">
        <f t="shared" ref="I37:L37" si="24">I16/I6</f>
        <v>0.12</v>
      </c>
      <c r="J37" s="11">
        <f t="shared" si="24"/>
        <v>0.12</v>
      </c>
      <c r="K37" s="11">
        <f t="shared" si="24"/>
        <v>0.12</v>
      </c>
      <c r="L37" s="11">
        <f t="shared" si="24"/>
        <v>0.12</v>
      </c>
      <c r="M37" s="41">
        <v>0.12</v>
      </c>
      <c r="N37" s="41">
        <v>0.12</v>
      </c>
      <c r="O37" s="41">
        <v>0.12</v>
      </c>
      <c r="P37" s="41">
        <v>0.12</v>
      </c>
      <c r="Q37" s="41">
        <v>0.12</v>
      </c>
      <c r="R37" s="41">
        <v>0.12</v>
      </c>
      <c r="S37" s="41">
        <v>0.12</v>
      </c>
      <c r="T37" s="41">
        <v>0.12</v>
      </c>
      <c r="U37" s="41">
        <v>0.12</v>
      </c>
      <c r="V37" s="41">
        <v>0.12</v>
      </c>
      <c r="W37" s="41">
        <v>0.12</v>
      </c>
      <c r="X37" s="41">
        <v>0.12</v>
      </c>
      <c r="Y37" s="41">
        <v>0.12</v>
      </c>
      <c r="Z37" s="41">
        <v>0.12</v>
      </c>
      <c r="AA37" s="41">
        <v>0.12</v>
      </c>
      <c r="AB37" s="41">
        <v>0.12</v>
      </c>
      <c r="AC37" s="41">
        <v>0.12</v>
      </c>
      <c r="AD37" s="41">
        <v>0.12</v>
      </c>
      <c r="AE37" s="41">
        <v>0.12</v>
      </c>
      <c r="AF37" s="41">
        <v>0.12</v>
      </c>
      <c r="AG37" s="41">
        <v>0.12</v>
      </c>
      <c r="AH37" s="41">
        <v>0.12</v>
      </c>
      <c r="AI37" s="41">
        <v>0.12</v>
      </c>
      <c r="AJ37" s="41">
        <v>0.12</v>
      </c>
      <c r="AK37" s="41">
        <v>0.12</v>
      </c>
      <c r="AL37" s="41">
        <v>0.12</v>
      </c>
      <c r="AM37" s="41">
        <v>0.12</v>
      </c>
      <c r="AN37" s="41">
        <v>0.12</v>
      </c>
      <c r="AO37" s="41">
        <v>0.12</v>
      </c>
      <c r="AP37" s="41">
        <v>0.12</v>
      </c>
      <c r="AQ37" s="41">
        <v>0.12</v>
      </c>
      <c r="AR37" s="41">
        <v>0.12</v>
      </c>
      <c r="AS37" s="41">
        <v>0.12</v>
      </c>
      <c r="AT37" s="41">
        <v>0.12</v>
      </c>
      <c r="AU37" s="41">
        <v>0.12</v>
      </c>
      <c r="AV37" s="41">
        <v>0.12</v>
      </c>
      <c r="AW37" s="41">
        <v>0.12</v>
      </c>
      <c r="AX37" s="41">
        <v>0.12</v>
      </c>
      <c r="AY37" s="41">
        <v>0.12</v>
      </c>
    </row>
    <row r="38" spans="3:51" x14ac:dyDescent="0.2">
      <c r="C38" s="2" t="s">
        <v>29</v>
      </c>
      <c r="H38" s="11">
        <v>0.28000000000000003</v>
      </c>
      <c r="I38" s="11">
        <v>0.28000000000000003</v>
      </c>
      <c r="J38" s="11">
        <v>0.28000000000000003</v>
      </c>
      <c r="K38" s="11">
        <v>0.28000000000000003</v>
      </c>
      <c r="L38" s="11">
        <v>0.28000000000000003</v>
      </c>
      <c r="M38" s="40">
        <v>0.28000000000000003</v>
      </c>
      <c r="N38" s="40">
        <v>0.28000000000000003</v>
      </c>
      <c r="O38" s="40">
        <v>0.28000000000000003</v>
      </c>
      <c r="P38" s="40">
        <v>0.28000000000000003</v>
      </c>
      <c r="Q38" s="40">
        <v>0.28000000000000003</v>
      </c>
      <c r="R38" s="40">
        <v>0.28000000000000003</v>
      </c>
      <c r="S38" s="40">
        <v>0.28000000000000003</v>
      </c>
      <c r="T38" s="40">
        <v>0.28000000000000003</v>
      </c>
      <c r="U38" s="40">
        <v>0.28000000000000003</v>
      </c>
      <c r="V38" s="40">
        <v>0.28000000000000003</v>
      </c>
      <c r="W38" s="40">
        <v>0.28000000000000003</v>
      </c>
      <c r="X38" s="40">
        <v>0.28000000000000003</v>
      </c>
      <c r="Y38" s="40">
        <v>0.28000000000000003</v>
      </c>
      <c r="Z38" s="40">
        <v>0.28000000000000003</v>
      </c>
      <c r="AA38" s="40">
        <v>0.28000000000000003</v>
      </c>
      <c r="AB38" s="40">
        <v>0.28000000000000003</v>
      </c>
      <c r="AC38" s="40">
        <v>0.28000000000000003</v>
      </c>
      <c r="AD38" s="40">
        <v>0.28000000000000003</v>
      </c>
      <c r="AE38" s="40">
        <v>0.28000000000000003</v>
      </c>
      <c r="AF38" s="40">
        <v>0.28000000000000003</v>
      </c>
      <c r="AG38" s="40">
        <v>0.28000000000000003</v>
      </c>
      <c r="AH38" s="40">
        <v>0.28000000000000003</v>
      </c>
      <c r="AI38" s="40">
        <v>0.28000000000000003</v>
      </c>
      <c r="AJ38" s="40">
        <v>0.28000000000000003</v>
      </c>
      <c r="AK38" s="40">
        <v>0.28000000000000003</v>
      </c>
      <c r="AL38" s="40">
        <v>0.28000000000000003</v>
      </c>
      <c r="AM38" s="40">
        <v>0.28000000000000003</v>
      </c>
      <c r="AN38" s="40">
        <v>0.28000000000000003</v>
      </c>
      <c r="AO38" s="40">
        <v>0.28000000000000003</v>
      </c>
      <c r="AP38" s="40">
        <v>0.28000000000000003</v>
      </c>
      <c r="AQ38" s="40">
        <v>0.28000000000000003</v>
      </c>
      <c r="AR38" s="40">
        <v>0.28000000000000003</v>
      </c>
      <c r="AS38" s="40">
        <v>0.28000000000000003</v>
      </c>
      <c r="AT38" s="40">
        <v>0.28000000000000003</v>
      </c>
      <c r="AU38" s="40">
        <v>0.28000000000000003</v>
      </c>
      <c r="AV38" s="40">
        <v>0.28000000000000003</v>
      </c>
      <c r="AW38" s="40">
        <v>0.28000000000000003</v>
      </c>
      <c r="AX38" s="40">
        <v>0.28000000000000003</v>
      </c>
      <c r="AY38" s="40">
        <v>0.28000000000000003</v>
      </c>
    </row>
    <row r="39" spans="3:51" x14ac:dyDescent="0.2">
      <c r="C39" s="2" t="s">
        <v>28</v>
      </c>
      <c r="H39" s="39">
        <v>0.01</v>
      </c>
      <c r="I39" s="39">
        <v>0.01</v>
      </c>
      <c r="J39" s="39">
        <v>0.01</v>
      </c>
      <c r="K39" s="39">
        <v>0.01</v>
      </c>
      <c r="L39" s="39">
        <v>0.01</v>
      </c>
      <c r="M39" s="40">
        <v>0.01</v>
      </c>
      <c r="N39" s="40">
        <v>0.01</v>
      </c>
      <c r="O39" s="40">
        <v>0.01</v>
      </c>
      <c r="P39" s="40">
        <v>0.01</v>
      </c>
      <c r="Q39" s="40">
        <v>0.01</v>
      </c>
      <c r="R39" s="40">
        <v>0.01</v>
      </c>
      <c r="S39" s="40">
        <v>0.01</v>
      </c>
      <c r="T39" s="40">
        <v>0.01</v>
      </c>
      <c r="U39" s="40">
        <v>0.01</v>
      </c>
      <c r="V39" s="40">
        <v>0.01</v>
      </c>
      <c r="W39" s="40">
        <v>0.01</v>
      </c>
      <c r="X39" s="40">
        <v>0.01</v>
      </c>
      <c r="Y39" s="40">
        <v>0.01</v>
      </c>
      <c r="Z39" s="40">
        <v>0.01</v>
      </c>
      <c r="AA39" s="40">
        <v>0.01</v>
      </c>
      <c r="AB39" s="40">
        <v>0.01</v>
      </c>
      <c r="AC39" s="40">
        <v>0.01</v>
      </c>
      <c r="AD39" s="40">
        <v>0.01</v>
      </c>
      <c r="AE39" s="40">
        <v>0.01</v>
      </c>
      <c r="AF39" s="40">
        <v>0.01</v>
      </c>
      <c r="AG39" s="40">
        <v>0.01</v>
      </c>
      <c r="AH39" s="40">
        <v>0.01</v>
      </c>
      <c r="AI39" s="40">
        <v>0.01</v>
      </c>
      <c r="AJ39" s="40">
        <v>0.01</v>
      </c>
      <c r="AK39" s="40">
        <v>0.01</v>
      </c>
      <c r="AL39" s="40">
        <v>0.01</v>
      </c>
      <c r="AM39" s="40">
        <v>0.01</v>
      </c>
      <c r="AN39" s="40">
        <v>0.01</v>
      </c>
      <c r="AO39" s="40">
        <v>0.01</v>
      </c>
      <c r="AP39" s="40">
        <v>0.01</v>
      </c>
      <c r="AQ39" s="40">
        <v>0.01</v>
      </c>
      <c r="AR39" s="40">
        <v>0.01</v>
      </c>
      <c r="AS39" s="40">
        <v>0.01</v>
      </c>
      <c r="AT39" s="40">
        <v>0.01</v>
      </c>
      <c r="AU39" s="40">
        <v>0.01</v>
      </c>
      <c r="AV39" s="40">
        <v>0.01</v>
      </c>
      <c r="AW39" s="40">
        <v>0.01</v>
      </c>
      <c r="AX39" s="40">
        <v>0.01</v>
      </c>
      <c r="AY39" s="40">
        <v>0.01</v>
      </c>
    </row>
    <row r="42" spans="3:51" x14ac:dyDescent="0.2">
      <c r="I42" s="2">
        <v>0</v>
      </c>
      <c r="J42" s="2">
        <v>1</v>
      </c>
      <c r="K42" s="2">
        <v>2</v>
      </c>
      <c r="L42" s="2">
        <v>3</v>
      </c>
      <c r="M42" s="2">
        <v>4</v>
      </c>
      <c r="N42" s="2">
        <v>5</v>
      </c>
      <c r="O42" s="2">
        <v>6</v>
      </c>
      <c r="P42" s="2">
        <v>7</v>
      </c>
      <c r="Q42" s="2">
        <v>8</v>
      </c>
      <c r="R42" s="2">
        <v>9</v>
      </c>
      <c r="S42" s="2">
        <v>10</v>
      </c>
    </row>
    <row r="43" spans="3:51" x14ac:dyDescent="0.2">
      <c r="H43" s="46">
        <f>AY26</f>
        <v>3701179.9149503298</v>
      </c>
      <c r="I43" s="11">
        <v>0</v>
      </c>
      <c r="J43" s="11">
        <v>5.0000000000000001E-3</v>
      </c>
      <c r="K43" s="11">
        <v>0.01</v>
      </c>
      <c r="L43" s="11">
        <v>1.4999999999999999E-2</v>
      </c>
      <c r="M43" s="11">
        <v>0.02</v>
      </c>
      <c r="N43" s="11">
        <v>2.5000000000000001E-2</v>
      </c>
      <c r="O43" s="11">
        <v>0.03</v>
      </c>
      <c r="P43" s="11">
        <v>3.5000000000000003E-2</v>
      </c>
      <c r="Q43" s="11">
        <v>0.04</v>
      </c>
      <c r="R43" s="11">
        <v>4.4999999999999998E-2</v>
      </c>
      <c r="S43" s="11">
        <v>0.05</v>
      </c>
      <c r="T43" s="39"/>
    </row>
    <row r="44" spans="3:51" x14ac:dyDescent="0.2">
      <c r="G44" s="2">
        <v>0</v>
      </c>
      <c r="H44" s="11">
        <v>0</v>
      </c>
      <c r="I44" s="49">
        <f t="dataTable" ref="I44:S54" dt2D="1" dtr="1" r1="N31" r2="M39"/>
        <v>1819987.9133311822</v>
      </c>
      <c r="J44" s="48">
        <v>2045628.1847382812</v>
      </c>
      <c r="K44" s="48">
        <v>2300208.1369712958</v>
      </c>
      <c r="L44" s="48">
        <v>2587855.4834550642</v>
      </c>
      <c r="M44" s="48">
        <v>2913311.6571107423</v>
      </c>
      <c r="N44" s="48">
        <v>3282024.2042386727</v>
      </c>
      <c r="O44" s="48">
        <v>3700253.0422910429</v>
      </c>
      <c r="P44" s="48">
        <v>4175192.6349951345</v>
      </c>
      <c r="Q44" s="48">
        <v>4715112.4365507662</v>
      </c>
      <c r="R44" s="48">
        <v>5329518.2971655149</v>
      </c>
      <c r="S44" s="48">
        <v>6029337.910840393</v>
      </c>
      <c r="T44" s="39"/>
    </row>
    <row r="45" spans="3:51" x14ac:dyDescent="0.2">
      <c r="G45" s="2">
        <v>1</v>
      </c>
      <c r="H45" s="11">
        <v>5.0000000000000001E-3</v>
      </c>
      <c r="I45" s="48">
        <v>1820451.3496608248</v>
      </c>
      <c r="J45" s="49">
        <v>2046091.6210679247</v>
      </c>
      <c r="K45" s="48">
        <v>2300671.5733009391</v>
      </c>
      <c r="L45" s="48">
        <v>2588318.9197847075</v>
      </c>
      <c r="M45" s="48">
        <v>2913775.0934403846</v>
      </c>
      <c r="N45" s="48">
        <v>3282487.6405683164</v>
      </c>
      <c r="O45" s="48">
        <v>3700716.4786206856</v>
      </c>
      <c r="P45" s="48">
        <v>4175656.0713247778</v>
      </c>
      <c r="Q45" s="48">
        <v>4715575.8728804095</v>
      </c>
      <c r="R45" s="48">
        <v>5329981.7334951572</v>
      </c>
      <c r="S45" s="48">
        <v>6029801.3471700344</v>
      </c>
    </row>
    <row r="46" spans="3:51" x14ac:dyDescent="0.2">
      <c r="G46" s="2">
        <v>2</v>
      </c>
      <c r="H46" s="11">
        <v>0.01</v>
      </c>
      <c r="I46" s="48">
        <v>1820914.7859904678</v>
      </c>
      <c r="J46" s="48">
        <v>2046555.0573975672</v>
      </c>
      <c r="K46" s="49">
        <v>2301135.0096305818</v>
      </c>
      <c r="L46" s="48">
        <v>2588782.3561143512</v>
      </c>
      <c r="M46" s="48">
        <v>2914238.5297700283</v>
      </c>
      <c r="N46" s="48">
        <v>3282951.0768979588</v>
      </c>
      <c r="O46" s="48">
        <v>3701179.9149503298</v>
      </c>
      <c r="P46" s="48">
        <v>4176119.5076544201</v>
      </c>
      <c r="Q46" s="48">
        <v>4716039.3092100518</v>
      </c>
      <c r="R46" s="48">
        <v>5330445.1698247986</v>
      </c>
      <c r="S46" s="48">
        <v>6030264.7834996777</v>
      </c>
    </row>
    <row r="47" spans="3:51" x14ac:dyDescent="0.2">
      <c r="G47" s="2">
        <v>3</v>
      </c>
      <c r="H47" s="11">
        <v>1.4999999999999999E-2</v>
      </c>
      <c r="I47" s="48">
        <v>1821378.2223201105</v>
      </c>
      <c r="J47" s="48">
        <v>2047018.4937272095</v>
      </c>
      <c r="K47" s="48">
        <v>2301598.4459602251</v>
      </c>
      <c r="L47" s="49">
        <v>2589245.7924439916</v>
      </c>
      <c r="M47" s="48">
        <v>2914701.9660996711</v>
      </c>
      <c r="N47" s="48">
        <v>3283414.5132276029</v>
      </c>
      <c r="O47" s="48">
        <v>3701643.3512799717</v>
      </c>
      <c r="P47" s="48">
        <v>4176582.9439840633</v>
      </c>
      <c r="Q47" s="48">
        <v>4716502.745539695</v>
      </c>
      <c r="R47" s="48">
        <v>5330908.6061544409</v>
      </c>
      <c r="S47" s="48">
        <v>6030728.2198293209</v>
      </c>
    </row>
    <row r="48" spans="3:51" x14ac:dyDescent="0.2">
      <c r="G48" s="2">
        <v>4</v>
      </c>
      <c r="H48" s="11">
        <v>0.02</v>
      </c>
      <c r="I48" s="48">
        <v>1821841.6586497533</v>
      </c>
      <c r="J48" s="48">
        <v>2047481.9300568528</v>
      </c>
      <c r="K48" s="48">
        <v>2302061.8822898674</v>
      </c>
      <c r="L48" s="48">
        <v>2589709.2287736363</v>
      </c>
      <c r="M48" s="49">
        <v>2915165.4024293139</v>
      </c>
      <c r="N48" s="48">
        <v>3283877.9495572443</v>
      </c>
      <c r="O48" s="48">
        <v>3702106.7876096149</v>
      </c>
      <c r="P48" s="48">
        <v>4177046.3803137061</v>
      </c>
      <c r="Q48" s="48">
        <v>4716966.1818693383</v>
      </c>
      <c r="R48" s="48">
        <v>5331372.042484086</v>
      </c>
      <c r="S48" s="48">
        <v>6031191.6561589641</v>
      </c>
    </row>
    <row r="49" spans="7:19" x14ac:dyDescent="0.2">
      <c r="G49" s="2">
        <v>5</v>
      </c>
      <c r="H49" s="11">
        <v>2.5000000000000001E-2</v>
      </c>
      <c r="I49" s="48">
        <v>1822305.0949793963</v>
      </c>
      <c r="J49" s="48">
        <v>2047945.3663864953</v>
      </c>
      <c r="K49" s="48">
        <v>2302525.3186195106</v>
      </c>
      <c r="L49" s="48">
        <v>2590172.6651032795</v>
      </c>
      <c r="M49" s="48">
        <v>2915628.8387589571</v>
      </c>
      <c r="N49" s="49">
        <v>3284341.3858868885</v>
      </c>
      <c r="O49" s="48">
        <v>3702570.2239392572</v>
      </c>
      <c r="P49" s="48">
        <v>4177509.8166433498</v>
      </c>
      <c r="Q49" s="48">
        <v>4717429.6181989806</v>
      </c>
      <c r="R49" s="48">
        <v>5331835.4788137292</v>
      </c>
      <c r="S49" s="48">
        <v>6031655.0924886074</v>
      </c>
    </row>
    <row r="50" spans="7:19" x14ac:dyDescent="0.2">
      <c r="G50" s="2">
        <v>6</v>
      </c>
      <c r="H50" s="11">
        <v>0.03</v>
      </c>
      <c r="I50" s="48">
        <v>1822768.5313090389</v>
      </c>
      <c r="J50" s="48">
        <v>2048408.802716139</v>
      </c>
      <c r="K50" s="48">
        <v>2302988.7549491534</v>
      </c>
      <c r="L50" s="48">
        <v>2590636.1014329218</v>
      </c>
      <c r="M50" s="48">
        <v>2916092.2750886003</v>
      </c>
      <c r="N50" s="48">
        <v>3284804.8222165299</v>
      </c>
      <c r="O50" s="49">
        <v>3703033.6602689005</v>
      </c>
      <c r="P50" s="48">
        <v>4177973.2529729921</v>
      </c>
      <c r="Q50" s="48">
        <v>4717893.0545286238</v>
      </c>
      <c r="R50" s="48">
        <v>5332298.9151433725</v>
      </c>
      <c r="S50" s="48">
        <v>6032118.5288182497</v>
      </c>
    </row>
    <row r="51" spans="7:19" x14ac:dyDescent="0.2">
      <c r="G51" s="2">
        <v>7</v>
      </c>
      <c r="H51" s="11">
        <v>3.5000000000000003E-2</v>
      </c>
      <c r="I51" s="48">
        <v>1823231.9676386821</v>
      </c>
      <c r="J51" s="48">
        <v>2048872.2390457815</v>
      </c>
      <c r="K51" s="48">
        <v>2303452.1912787957</v>
      </c>
      <c r="L51" s="48">
        <v>2591099.5377625655</v>
      </c>
      <c r="M51" s="48">
        <v>2916555.7114182422</v>
      </c>
      <c r="N51" s="48">
        <v>3285268.2585461731</v>
      </c>
      <c r="O51" s="48">
        <v>3703497.0965985428</v>
      </c>
      <c r="P51" s="49">
        <v>4178436.6893026354</v>
      </c>
      <c r="Q51" s="48">
        <v>4718356.4908582661</v>
      </c>
      <c r="R51" s="48">
        <v>5332762.3514730148</v>
      </c>
      <c r="S51" s="48">
        <v>6032581.9651478929</v>
      </c>
    </row>
    <row r="52" spans="7:19" x14ac:dyDescent="0.2">
      <c r="G52" s="2">
        <v>8</v>
      </c>
      <c r="H52" s="11">
        <v>0.04</v>
      </c>
      <c r="I52" s="48">
        <v>1823695.4039683244</v>
      </c>
      <c r="J52" s="48">
        <v>2049335.6753754241</v>
      </c>
      <c r="K52" s="48">
        <v>2303915.6276084394</v>
      </c>
      <c r="L52" s="48">
        <v>2591562.9740922074</v>
      </c>
      <c r="M52" s="48">
        <v>2917019.1477478854</v>
      </c>
      <c r="N52" s="48">
        <v>3285731.6948758159</v>
      </c>
      <c r="O52" s="48">
        <v>3703960.532928186</v>
      </c>
      <c r="P52" s="48">
        <v>4178900.1256322791</v>
      </c>
      <c r="Q52" s="49">
        <v>4718819.9271879103</v>
      </c>
      <c r="R52" s="48">
        <v>5333225.7878026562</v>
      </c>
      <c r="S52" s="48">
        <v>6033045.4014775362</v>
      </c>
    </row>
    <row r="53" spans="7:19" x14ac:dyDescent="0.2">
      <c r="G53" s="2">
        <v>9</v>
      </c>
      <c r="H53" s="11">
        <v>4.4999999999999998E-2</v>
      </c>
      <c r="I53" s="48">
        <v>1824158.8402979681</v>
      </c>
      <c r="J53" s="48">
        <v>2049799.1117050669</v>
      </c>
      <c r="K53" s="48">
        <v>2304379.0639380822</v>
      </c>
      <c r="L53" s="48">
        <v>2592026.4104218511</v>
      </c>
      <c r="M53" s="48">
        <v>2917482.5840775282</v>
      </c>
      <c r="N53" s="48">
        <v>3286195.1312054601</v>
      </c>
      <c r="O53" s="48">
        <v>3704423.9692578292</v>
      </c>
      <c r="P53" s="48">
        <v>4179363.5619619219</v>
      </c>
      <c r="Q53" s="48">
        <v>4719283.3635175517</v>
      </c>
      <c r="R53" s="49">
        <v>5333689.2241322985</v>
      </c>
      <c r="S53" s="48">
        <v>6033508.8378071794</v>
      </c>
    </row>
    <row r="54" spans="7:19" x14ac:dyDescent="0.2">
      <c r="G54" s="2">
        <v>10</v>
      </c>
      <c r="H54" s="11">
        <v>0.05</v>
      </c>
      <c r="I54" s="48">
        <v>1824622.2766276104</v>
      </c>
      <c r="J54" s="48">
        <v>2050262.5480347099</v>
      </c>
      <c r="K54" s="48">
        <v>2304842.500267725</v>
      </c>
      <c r="L54" s="48">
        <v>2592489.8467514929</v>
      </c>
      <c r="M54" s="48">
        <v>2917946.0204071724</v>
      </c>
      <c r="N54" s="48">
        <v>3286658.5675351019</v>
      </c>
      <c r="O54" s="48">
        <v>3704887.4055874734</v>
      </c>
      <c r="P54" s="48">
        <v>4179826.9982915637</v>
      </c>
      <c r="Q54" s="48">
        <v>4719746.7998471959</v>
      </c>
      <c r="R54" s="48">
        <v>5334152.6604619436</v>
      </c>
      <c r="S54" s="49">
        <v>6033972.2741368199</v>
      </c>
    </row>
    <row r="55" spans="7:19" x14ac:dyDescent="0.2">
      <c r="H55" s="4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58561-EF80-4BB6-AF2F-47F07C378210}">
  <sheetPr codeName="Sheet4"/>
  <dimension ref="A1:C12"/>
  <sheetViews>
    <sheetView workbookViewId="0">
      <selection activeCell="D22" sqref="D22"/>
    </sheetView>
  </sheetViews>
  <sheetFormatPr defaultRowHeight="15" x14ac:dyDescent="0.25"/>
  <cols>
    <col min="1" max="1" width="29.85546875" bestFit="1" customWidth="1"/>
    <col min="2" max="2" width="57" bestFit="1" customWidth="1"/>
    <col min="3" max="3" width="39.7109375" bestFit="1" customWidth="1"/>
  </cols>
  <sheetData>
    <row r="1" spans="1:3" x14ac:dyDescent="0.25">
      <c r="A1" s="50" t="s">
        <v>32</v>
      </c>
      <c r="B1" s="50" t="s">
        <v>33</v>
      </c>
      <c r="C1" s="50" t="s">
        <v>62</v>
      </c>
    </row>
    <row r="2" spans="1:3" x14ac:dyDescent="0.25">
      <c r="A2" s="51">
        <v>0</v>
      </c>
      <c r="B2" s="51">
        <v>0</v>
      </c>
      <c r="C2" s="52">
        <f ca="1">OFFSET(FinancialModelWork!$I$44, FinancialModelWork!I$42,FinancialModelWork!I$42+FinancialModelWork!$G44,1,1)</f>
        <v>1819987.9133311822</v>
      </c>
    </row>
    <row r="3" spans="1:3" x14ac:dyDescent="0.25">
      <c r="A3" s="51">
        <v>5.0000000000000001E-3</v>
      </c>
      <c r="B3" s="51">
        <v>5.0000000000000001E-3</v>
      </c>
      <c r="C3" s="52">
        <f ca="1">OFFSET(FinancialModelWork!$I$44, FinancialModelWork!I$42,FinancialModelWork!I$42+FinancialModelWork!$G45,1,1)</f>
        <v>2045628.1847382812</v>
      </c>
    </row>
    <row r="4" spans="1:3" x14ac:dyDescent="0.25">
      <c r="A4" s="51">
        <v>0.01</v>
      </c>
      <c r="B4" s="51">
        <v>0.01</v>
      </c>
      <c r="C4" s="52">
        <f ca="1">OFFSET(FinancialModelWork!$I$44, FinancialModelWork!I$42,FinancialModelWork!I$42+FinancialModelWork!$G46,1,1)</f>
        <v>2300208.1369712958</v>
      </c>
    </row>
    <row r="5" spans="1:3" x14ac:dyDescent="0.25">
      <c r="A5" s="51">
        <v>1.4999999999999999E-2</v>
      </c>
      <c r="B5" s="51">
        <v>1.4999999999999999E-2</v>
      </c>
      <c r="C5" s="52">
        <f ca="1">OFFSET(FinancialModelWork!$I$44, FinancialModelWork!I$42,FinancialModelWork!I$42+FinancialModelWork!$G47,1,1)</f>
        <v>2587855.4834550642</v>
      </c>
    </row>
    <row r="6" spans="1:3" x14ac:dyDescent="0.25">
      <c r="A6" s="51">
        <v>0.02</v>
      </c>
      <c r="B6" s="51">
        <v>0.02</v>
      </c>
      <c r="C6" s="52">
        <f ca="1">OFFSET(FinancialModelWork!$I$44, FinancialModelWork!I$42,FinancialModelWork!I$42+FinancialModelWork!$G48,1,1)</f>
        <v>2913311.6571107423</v>
      </c>
    </row>
    <row r="7" spans="1:3" x14ac:dyDescent="0.25">
      <c r="A7" s="51">
        <v>2.5000000000000001E-2</v>
      </c>
      <c r="B7" s="51">
        <v>2.5000000000000001E-2</v>
      </c>
      <c r="C7" s="52">
        <f ca="1">OFFSET(FinancialModelWork!$I$44, FinancialModelWork!I$42,FinancialModelWork!I$42+FinancialModelWork!$G49,1,1)</f>
        <v>3282024.2042386727</v>
      </c>
    </row>
    <row r="8" spans="1:3" x14ac:dyDescent="0.25">
      <c r="A8" s="51">
        <v>0.03</v>
      </c>
      <c r="B8" s="51">
        <v>0.03</v>
      </c>
      <c r="C8" s="52">
        <f ca="1">OFFSET(FinancialModelWork!$I$44, FinancialModelWork!I$42,FinancialModelWork!I$42+FinancialModelWork!$G50,1,1)</f>
        <v>3700253.0422910429</v>
      </c>
    </row>
    <row r="9" spans="1:3" x14ac:dyDescent="0.25">
      <c r="A9" s="51">
        <v>3.5000000000000003E-2</v>
      </c>
      <c r="B9" s="51">
        <v>3.5000000000000003E-2</v>
      </c>
      <c r="C9" s="52">
        <f ca="1">OFFSET(FinancialModelWork!$I$44, FinancialModelWork!I$42,FinancialModelWork!I$42+FinancialModelWork!$G51,1,1)</f>
        <v>4175192.6349951345</v>
      </c>
    </row>
    <row r="10" spans="1:3" x14ac:dyDescent="0.25">
      <c r="A10" s="51">
        <v>0.04</v>
      </c>
      <c r="B10" s="51">
        <v>0.04</v>
      </c>
      <c r="C10" s="52">
        <f ca="1">OFFSET(FinancialModelWork!$I$44, FinancialModelWork!I$42,FinancialModelWork!I$42+FinancialModelWork!$G52,1,1)</f>
        <v>4715112.4365507662</v>
      </c>
    </row>
    <row r="11" spans="1:3" x14ac:dyDescent="0.25">
      <c r="A11" s="51">
        <v>4.4999999999999998E-2</v>
      </c>
      <c r="B11" s="51">
        <v>4.4999999999999998E-2</v>
      </c>
      <c r="C11" s="52">
        <f ca="1">OFFSET(FinancialModelWork!$I$44, FinancialModelWork!I$42,FinancialModelWork!I$42+FinancialModelWork!$G53,1,1)</f>
        <v>5329518.2971655149</v>
      </c>
    </row>
    <row r="12" spans="1:3" x14ac:dyDescent="0.25">
      <c r="A12" s="51">
        <v>0.05</v>
      </c>
      <c r="B12" s="51">
        <v>0.05</v>
      </c>
      <c r="C12" s="52">
        <f ca="1">OFFSET(FinancialModelWork!$I$44, FinancialModelWork!I$42,FinancialModelWork!I$42+FinancialModelWork!$G54,1,1)</f>
        <v>6029337.910840393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8179-D62D-4951-8016-95EFC05ADCD0}">
  <sheetPr codeName="Sheet5"/>
  <dimension ref="A1:AU29"/>
  <sheetViews>
    <sheetView zoomScale="130" zoomScaleNormal="130" workbookViewId="0">
      <selection activeCell="H27" sqref="H27"/>
    </sheetView>
  </sheetViews>
  <sheetFormatPr defaultColWidth="9.140625" defaultRowHeight="12.75" x14ac:dyDescent="0.2"/>
  <cols>
    <col min="1" max="1" width="9.140625" style="2"/>
    <col min="2" max="2" width="4" style="2" customWidth="1"/>
    <col min="3" max="4" width="9.140625" style="2"/>
    <col min="5" max="5" width="12.85546875" style="2" bestFit="1" customWidth="1"/>
    <col min="6" max="6" width="9.140625" style="2"/>
    <col min="7" max="7" width="26.5703125" style="2" customWidth="1"/>
    <col min="8" max="8" width="13.140625" style="2" customWidth="1"/>
    <col min="9" max="46" width="12.5703125" style="2" bestFit="1" customWidth="1"/>
    <col min="47" max="47" width="10" style="2" bestFit="1" customWidth="1"/>
    <col min="48" max="16384" width="9.140625" style="2"/>
  </cols>
  <sheetData>
    <row r="1" spans="1:47" x14ac:dyDescent="0.2">
      <c r="G1" s="35" t="s">
        <v>42</v>
      </c>
      <c r="H1" s="2">
        <v>1</v>
      </c>
      <c r="I1" s="2">
        <f>H1+1</f>
        <v>2</v>
      </c>
      <c r="J1" s="2">
        <f t="shared" ref="J1:AS1" si="0">I1+1</f>
        <v>3</v>
      </c>
      <c r="K1" s="2">
        <f t="shared" si="0"/>
        <v>4</v>
      </c>
      <c r="L1" s="2">
        <f t="shared" si="0"/>
        <v>5</v>
      </c>
      <c r="M1" s="2">
        <f t="shared" si="0"/>
        <v>6</v>
      </c>
      <c r="N1" s="2">
        <f t="shared" si="0"/>
        <v>7</v>
      </c>
      <c r="O1" s="2">
        <f t="shared" si="0"/>
        <v>8</v>
      </c>
      <c r="P1" s="2">
        <f t="shared" si="0"/>
        <v>9</v>
      </c>
      <c r="Q1" s="2">
        <f t="shared" si="0"/>
        <v>10</v>
      </c>
      <c r="R1" s="2">
        <f t="shared" si="0"/>
        <v>11</v>
      </c>
      <c r="S1" s="2">
        <f t="shared" si="0"/>
        <v>12</v>
      </c>
      <c r="T1" s="2">
        <f t="shared" si="0"/>
        <v>13</v>
      </c>
      <c r="U1" s="2">
        <f t="shared" si="0"/>
        <v>14</v>
      </c>
      <c r="V1" s="2">
        <f t="shared" si="0"/>
        <v>15</v>
      </c>
      <c r="W1" s="2">
        <f t="shared" si="0"/>
        <v>16</v>
      </c>
      <c r="X1" s="2">
        <f t="shared" si="0"/>
        <v>17</v>
      </c>
      <c r="Y1" s="2">
        <f t="shared" si="0"/>
        <v>18</v>
      </c>
      <c r="Z1" s="2">
        <f t="shared" si="0"/>
        <v>19</v>
      </c>
      <c r="AA1" s="2">
        <f t="shared" si="0"/>
        <v>20</v>
      </c>
      <c r="AB1" s="2">
        <f t="shared" si="0"/>
        <v>21</v>
      </c>
      <c r="AC1" s="2">
        <f t="shared" si="0"/>
        <v>22</v>
      </c>
      <c r="AD1" s="2">
        <f t="shared" si="0"/>
        <v>23</v>
      </c>
      <c r="AE1" s="2">
        <f t="shared" si="0"/>
        <v>24</v>
      </c>
      <c r="AF1" s="2">
        <f t="shared" si="0"/>
        <v>25</v>
      </c>
      <c r="AG1" s="2">
        <f t="shared" si="0"/>
        <v>26</v>
      </c>
      <c r="AH1" s="2">
        <f t="shared" si="0"/>
        <v>27</v>
      </c>
      <c r="AI1" s="2">
        <f t="shared" si="0"/>
        <v>28</v>
      </c>
      <c r="AJ1" s="2">
        <f t="shared" si="0"/>
        <v>29</v>
      </c>
      <c r="AK1" s="2">
        <f t="shared" si="0"/>
        <v>30</v>
      </c>
      <c r="AL1" s="2">
        <f t="shared" si="0"/>
        <v>31</v>
      </c>
      <c r="AM1" s="2">
        <f t="shared" si="0"/>
        <v>32</v>
      </c>
      <c r="AN1" s="2">
        <f t="shared" si="0"/>
        <v>33</v>
      </c>
      <c r="AO1" s="2">
        <f t="shared" si="0"/>
        <v>34</v>
      </c>
      <c r="AP1" s="2">
        <f t="shared" si="0"/>
        <v>35</v>
      </c>
      <c r="AQ1" s="2">
        <f t="shared" si="0"/>
        <v>36</v>
      </c>
      <c r="AR1" s="2">
        <f t="shared" si="0"/>
        <v>37</v>
      </c>
      <c r="AS1" s="2">
        <f t="shared" si="0"/>
        <v>38</v>
      </c>
      <c r="AT1" s="2">
        <f>AS1+1</f>
        <v>39</v>
      </c>
    </row>
    <row r="2" spans="1:47" x14ac:dyDescent="0.2">
      <c r="A2" s="6"/>
      <c r="G2" s="35" t="s">
        <v>17</v>
      </c>
      <c r="H2" s="34">
        <v>27</v>
      </c>
      <c r="I2" s="2">
        <f t="shared" ref="I2:AS2" si="1">H2+1</f>
        <v>28</v>
      </c>
      <c r="J2" s="2">
        <f t="shared" si="1"/>
        <v>29</v>
      </c>
      <c r="K2" s="2">
        <f t="shared" si="1"/>
        <v>30</v>
      </c>
      <c r="L2" s="2">
        <f t="shared" si="1"/>
        <v>31</v>
      </c>
      <c r="M2" s="2">
        <f t="shared" si="1"/>
        <v>32</v>
      </c>
      <c r="N2" s="2">
        <f t="shared" si="1"/>
        <v>33</v>
      </c>
      <c r="O2" s="2">
        <f t="shared" si="1"/>
        <v>34</v>
      </c>
      <c r="P2" s="2">
        <f t="shared" si="1"/>
        <v>35</v>
      </c>
      <c r="Q2" s="2">
        <f t="shared" si="1"/>
        <v>36</v>
      </c>
      <c r="R2" s="2">
        <f t="shared" si="1"/>
        <v>37</v>
      </c>
      <c r="S2" s="2">
        <f t="shared" si="1"/>
        <v>38</v>
      </c>
      <c r="T2" s="2">
        <f t="shared" si="1"/>
        <v>39</v>
      </c>
      <c r="U2" s="2">
        <f t="shared" si="1"/>
        <v>40</v>
      </c>
      <c r="V2" s="2">
        <f t="shared" si="1"/>
        <v>41</v>
      </c>
      <c r="W2" s="2">
        <f t="shared" si="1"/>
        <v>42</v>
      </c>
      <c r="X2" s="2">
        <f t="shared" si="1"/>
        <v>43</v>
      </c>
      <c r="Y2" s="2">
        <f t="shared" si="1"/>
        <v>44</v>
      </c>
      <c r="Z2" s="2">
        <f t="shared" si="1"/>
        <v>45</v>
      </c>
      <c r="AA2" s="2">
        <f t="shared" si="1"/>
        <v>46</v>
      </c>
      <c r="AB2" s="2">
        <f t="shared" si="1"/>
        <v>47</v>
      </c>
      <c r="AC2" s="2">
        <f t="shared" si="1"/>
        <v>48</v>
      </c>
      <c r="AD2" s="2">
        <f t="shared" si="1"/>
        <v>49</v>
      </c>
      <c r="AE2" s="2">
        <f t="shared" si="1"/>
        <v>50</v>
      </c>
      <c r="AF2" s="2">
        <f t="shared" si="1"/>
        <v>51</v>
      </c>
      <c r="AG2" s="2">
        <f t="shared" si="1"/>
        <v>52</v>
      </c>
      <c r="AH2" s="2">
        <f t="shared" si="1"/>
        <v>53</v>
      </c>
      <c r="AI2" s="2">
        <f t="shared" si="1"/>
        <v>54</v>
      </c>
      <c r="AJ2" s="2">
        <f t="shared" si="1"/>
        <v>55</v>
      </c>
      <c r="AK2" s="2">
        <f t="shared" si="1"/>
        <v>56</v>
      </c>
      <c r="AL2" s="2">
        <f t="shared" si="1"/>
        <v>57</v>
      </c>
      <c r="AM2" s="2">
        <f t="shared" si="1"/>
        <v>58</v>
      </c>
      <c r="AN2" s="2">
        <f t="shared" si="1"/>
        <v>59</v>
      </c>
      <c r="AO2" s="2">
        <f t="shared" si="1"/>
        <v>60</v>
      </c>
      <c r="AP2" s="2">
        <f t="shared" si="1"/>
        <v>61</v>
      </c>
      <c r="AQ2" s="2">
        <f t="shared" si="1"/>
        <v>62</v>
      </c>
      <c r="AR2" s="2">
        <f t="shared" si="1"/>
        <v>63</v>
      </c>
      <c r="AS2" s="2">
        <f t="shared" si="1"/>
        <v>64</v>
      </c>
      <c r="AT2" s="2">
        <f>AS2+1</f>
        <v>65</v>
      </c>
    </row>
    <row r="3" spans="1:47" x14ac:dyDescent="0.2">
      <c r="H3" s="18"/>
      <c r="I3" s="18" t="s">
        <v>2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</row>
    <row r="4" spans="1:47" x14ac:dyDescent="0.2">
      <c r="H4" s="19">
        <v>2017</v>
      </c>
      <c r="I4" s="27">
        <f>H4+1</f>
        <v>2018</v>
      </c>
      <c r="J4" s="27">
        <f t="shared" ref="J4:AS4" si="2">I4+1</f>
        <v>2019</v>
      </c>
      <c r="K4" s="27">
        <f t="shared" si="2"/>
        <v>2020</v>
      </c>
      <c r="L4" s="27">
        <f t="shared" si="2"/>
        <v>2021</v>
      </c>
      <c r="M4" s="27">
        <f t="shared" si="2"/>
        <v>2022</v>
      </c>
      <c r="N4" s="27">
        <f t="shared" si="2"/>
        <v>2023</v>
      </c>
      <c r="O4" s="27">
        <f t="shared" si="2"/>
        <v>2024</v>
      </c>
      <c r="P4" s="27">
        <f t="shared" si="2"/>
        <v>2025</v>
      </c>
      <c r="Q4" s="27">
        <f t="shared" si="2"/>
        <v>2026</v>
      </c>
      <c r="R4" s="27">
        <f t="shared" si="2"/>
        <v>2027</v>
      </c>
      <c r="S4" s="27">
        <f t="shared" si="2"/>
        <v>2028</v>
      </c>
      <c r="T4" s="27">
        <f t="shared" si="2"/>
        <v>2029</v>
      </c>
      <c r="U4" s="27">
        <f t="shared" si="2"/>
        <v>2030</v>
      </c>
      <c r="V4" s="27">
        <f t="shared" si="2"/>
        <v>2031</v>
      </c>
      <c r="W4" s="27">
        <f t="shared" si="2"/>
        <v>2032</v>
      </c>
      <c r="X4" s="27">
        <f t="shared" si="2"/>
        <v>2033</v>
      </c>
      <c r="Y4" s="27">
        <f t="shared" si="2"/>
        <v>2034</v>
      </c>
      <c r="Z4" s="27">
        <f t="shared" si="2"/>
        <v>2035</v>
      </c>
      <c r="AA4" s="27">
        <f t="shared" si="2"/>
        <v>2036</v>
      </c>
      <c r="AB4" s="27">
        <f t="shared" si="2"/>
        <v>2037</v>
      </c>
      <c r="AC4" s="27">
        <f t="shared" si="2"/>
        <v>2038</v>
      </c>
      <c r="AD4" s="27">
        <f t="shared" si="2"/>
        <v>2039</v>
      </c>
      <c r="AE4" s="27">
        <f t="shared" si="2"/>
        <v>2040</v>
      </c>
      <c r="AF4" s="27">
        <f t="shared" si="2"/>
        <v>2041</v>
      </c>
      <c r="AG4" s="27">
        <f t="shared" si="2"/>
        <v>2042</v>
      </c>
      <c r="AH4" s="27">
        <f t="shared" si="2"/>
        <v>2043</v>
      </c>
      <c r="AI4" s="27">
        <f t="shared" si="2"/>
        <v>2044</v>
      </c>
      <c r="AJ4" s="27">
        <f t="shared" si="2"/>
        <v>2045</v>
      </c>
      <c r="AK4" s="27">
        <f t="shared" si="2"/>
        <v>2046</v>
      </c>
      <c r="AL4" s="27">
        <f t="shared" si="2"/>
        <v>2047</v>
      </c>
      <c r="AM4" s="27">
        <f t="shared" si="2"/>
        <v>2048</v>
      </c>
      <c r="AN4" s="27">
        <f t="shared" si="2"/>
        <v>2049</v>
      </c>
      <c r="AO4" s="27">
        <f t="shared" si="2"/>
        <v>2050</v>
      </c>
      <c r="AP4" s="27">
        <f t="shared" si="2"/>
        <v>2051</v>
      </c>
      <c r="AQ4" s="27">
        <f t="shared" si="2"/>
        <v>2052</v>
      </c>
      <c r="AR4" s="27">
        <f t="shared" si="2"/>
        <v>2053</v>
      </c>
      <c r="AS4" s="27">
        <f t="shared" si="2"/>
        <v>2054</v>
      </c>
      <c r="AT4" s="27">
        <f>AS4+1</f>
        <v>2055</v>
      </c>
    </row>
    <row r="5" spans="1:47" x14ac:dyDescent="0.2"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7" x14ac:dyDescent="0.2">
      <c r="B6" s="4" t="s">
        <v>43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7" x14ac:dyDescent="0.2">
      <c r="B7" s="2" t="s">
        <v>15</v>
      </c>
      <c r="H7" s="7">
        <v>100000</v>
      </c>
      <c r="I7" s="31">
        <f>H7*(1+$I$25)</f>
        <v>103000</v>
      </c>
      <c r="J7" s="31">
        <f t="shared" ref="J7:AT7" si="3">I7*(1+$I$25)</f>
        <v>106090</v>
      </c>
      <c r="K7" s="31">
        <f t="shared" si="3"/>
        <v>109272.7</v>
      </c>
      <c r="L7" s="31">
        <f t="shared" si="3"/>
        <v>112550.88099999999</v>
      </c>
      <c r="M7" s="31">
        <f t="shared" si="3"/>
        <v>115927.40742999999</v>
      </c>
      <c r="N7" s="31">
        <f t="shared" si="3"/>
        <v>119405.2296529</v>
      </c>
      <c r="O7" s="31">
        <f t="shared" si="3"/>
        <v>122987.386542487</v>
      </c>
      <c r="P7" s="31">
        <f t="shared" si="3"/>
        <v>126677.00813876161</v>
      </c>
      <c r="Q7" s="31">
        <f t="shared" si="3"/>
        <v>130477.31838292447</v>
      </c>
      <c r="R7" s="31">
        <f t="shared" si="3"/>
        <v>134391.6379344122</v>
      </c>
      <c r="S7" s="31">
        <f t="shared" si="3"/>
        <v>138423.38707244457</v>
      </c>
      <c r="T7" s="31">
        <f t="shared" si="3"/>
        <v>142576.08868461792</v>
      </c>
      <c r="U7" s="31">
        <f t="shared" si="3"/>
        <v>146853.37134515645</v>
      </c>
      <c r="V7" s="31">
        <f t="shared" si="3"/>
        <v>151258.97248551116</v>
      </c>
      <c r="W7" s="31">
        <f t="shared" si="3"/>
        <v>155796.74166007648</v>
      </c>
      <c r="X7" s="31">
        <f t="shared" si="3"/>
        <v>160470.6439098788</v>
      </c>
      <c r="Y7" s="31">
        <f t="shared" si="3"/>
        <v>165284.76322717516</v>
      </c>
      <c r="Z7" s="31">
        <f t="shared" si="3"/>
        <v>170243.30612399042</v>
      </c>
      <c r="AA7" s="31">
        <f t="shared" si="3"/>
        <v>175350.60530771012</v>
      </c>
      <c r="AB7" s="31">
        <f t="shared" si="3"/>
        <v>180611.12346694144</v>
      </c>
      <c r="AC7" s="31">
        <f t="shared" si="3"/>
        <v>186029.4571709497</v>
      </c>
      <c r="AD7" s="31">
        <f t="shared" si="3"/>
        <v>191610.34088607819</v>
      </c>
      <c r="AE7" s="31">
        <f t="shared" si="3"/>
        <v>197358.65111266053</v>
      </c>
      <c r="AF7" s="31">
        <f t="shared" si="3"/>
        <v>203279.41064604034</v>
      </c>
      <c r="AG7" s="31">
        <f t="shared" si="3"/>
        <v>209377.79296542157</v>
      </c>
      <c r="AH7" s="31">
        <f t="shared" si="3"/>
        <v>215659.12675438423</v>
      </c>
      <c r="AI7" s="31">
        <f t="shared" si="3"/>
        <v>222128.90055701576</v>
      </c>
      <c r="AJ7" s="31">
        <f t="shared" si="3"/>
        <v>228792.76757372625</v>
      </c>
      <c r="AK7" s="31">
        <f t="shared" si="3"/>
        <v>235656.55060093803</v>
      </c>
      <c r="AL7" s="31">
        <f t="shared" si="3"/>
        <v>242726.24711896619</v>
      </c>
      <c r="AM7" s="31">
        <f t="shared" si="3"/>
        <v>250008.03453253518</v>
      </c>
      <c r="AN7" s="31">
        <f t="shared" si="3"/>
        <v>257508.27556851125</v>
      </c>
      <c r="AO7" s="31">
        <f t="shared" si="3"/>
        <v>265233.52383556659</v>
      </c>
      <c r="AP7" s="31">
        <f t="shared" si="3"/>
        <v>273190.52955063363</v>
      </c>
      <c r="AQ7" s="31">
        <f t="shared" si="3"/>
        <v>281386.24543715263</v>
      </c>
      <c r="AR7" s="31">
        <f t="shared" si="3"/>
        <v>289827.83280026721</v>
      </c>
      <c r="AS7" s="31">
        <f t="shared" si="3"/>
        <v>298522.66778427525</v>
      </c>
      <c r="AT7" s="31">
        <f t="shared" si="3"/>
        <v>307478.3478178035</v>
      </c>
    </row>
    <row r="8" spans="1:47" x14ac:dyDescent="0.2"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</row>
    <row r="9" spans="1:47" x14ac:dyDescent="0.2">
      <c r="B9" s="4" t="s">
        <v>44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</row>
    <row r="10" spans="1:47" x14ac:dyDescent="0.2">
      <c r="B10" s="2" t="s">
        <v>45</v>
      </c>
      <c r="H10" s="61">
        <f>IF($B$26="Y",$H$26,0)</f>
        <v>0</v>
      </c>
      <c r="I10" s="61">
        <f t="shared" ref="I10:AT10" si="4">IF($B$26="Y",$H$26,0)</f>
        <v>0</v>
      </c>
      <c r="J10" s="61">
        <f t="shared" si="4"/>
        <v>0</v>
      </c>
      <c r="K10" s="61">
        <f t="shared" si="4"/>
        <v>0</v>
      </c>
      <c r="L10" s="61">
        <f t="shared" si="4"/>
        <v>0</v>
      </c>
      <c r="M10" s="61">
        <f t="shared" si="4"/>
        <v>0</v>
      </c>
      <c r="N10" s="61">
        <f t="shared" si="4"/>
        <v>0</v>
      </c>
      <c r="O10" s="61">
        <f t="shared" si="4"/>
        <v>0</v>
      </c>
      <c r="P10" s="61">
        <f t="shared" si="4"/>
        <v>0</v>
      </c>
      <c r="Q10" s="61">
        <f t="shared" si="4"/>
        <v>0</v>
      </c>
      <c r="R10" s="61">
        <f t="shared" si="4"/>
        <v>0</v>
      </c>
      <c r="S10" s="61">
        <f t="shared" si="4"/>
        <v>0</v>
      </c>
      <c r="T10" s="61">
        <f t="shared" si="4"/>
        <v>0</v>
      </c>
      <c r="U10" s="61">
        <f t="shared" si="4"/>
        <v>0</v>
      </c>
      <c r="V10" s="61">
        <f t="shared" si="4"/>
        <v>0</v>
      </c>
      <c r="W10" s="61">
        <f t="shared" si="4"/>
        <v>0</v>
      </c>
      <c r="X10" s="61">
        <f t="shared" si="4"/>
        <v>0</v>
      </c>
      <c r="Y10" s="61">
        <f t="shared" si="4"/>
        <v>0</v>
      </c>
      <c r="Z10" s="61">
        <f t="shared" si="4"/>
        <v>0</v>
      </c>
      <c r="AA10" s="61">
        <f t="shared" si="4"/>
        <v>0</v>
      </c>
      <c r="AB10" s="61">
        <f t="shared" si="4"/>
        <v>0</v>
      </c>
      <c r="AC10" s="61">
        <f t="shared" si="4"/>
        <v>0</v>
      </c>
      <c r="AD10" s="61">
        <f t="shared" si="4"/>
        <v>0</v>
      </c>
      <c r="AE10" s="61">
        <f t="shared" si="4"/>
        <v>0</v>
      </c>
      <c r="AF10" s="61">
        <f t="shared" si="4"/>
        <v>0</v>
      </c>
      <c r="AG10" s="61">
        <f t="shared" si="4"/>
        <v>0</v>
      </c>
      <c r="AH10" s="61">
        <f t="shared" si="4"/>
        <v>0</v>
      </c>
      <c r="AI10" s="61">
        <f t="shared" si="4"/>
        <v>0</v>
      </c>
      <c r="AJ10" s="61">
        <f t="shared" si="4"/>
        <v>0</v>
      </c>
      <c r="AK10" s="61">
        <f t="shared" si="4"/>
        <v>0</v>
      </c>
      <c r="AL10" s="61">
        <f t="shared" si="4"/>
        <v>0</v>
      </c>
      <c r="AM10" s="61">
        <f t="shared" si="4"/>
        <v>0</v>
      </c>
      <c r="AN10" s="61">
        <f t="shared" si="4"/>
        <v>0</v>
      </c>
      <c r="AO10" s="61">
        <f t="shared" si="4"/>
        <v>0</v>
      </c>
      <c r="AP10" s="61">
        <f t="shared" si="4"/>
        <v>0</v>
      </c>
      <c r="AQ10" s="61">
        <f t="shared" si="4"/>
        <v>0</v>
      </c>
      <c r="AR10" s="61">
        <f t="shared" si="4"/>
        <v>0</v>
      </c>
      <c r="AS10" s="61">
        <f t="shared" si="4"/>
        <v>0</v>
      </c>
      <c r="AT10" s="61">
        <f t="shared" si="4"/>
        <v>0</v>
      </c>
    </row>
    <row r="11" spans="1:47" x14ac:dyDescent="0.2">
      <c r="B11" s="2" t="s">
        <v>46</v>
      </c>
      <c r="H11" s="61">
        <f>IF($B$27="Y",H7*H27,0)</f>
        <v>200000</v>
      </c>
      <c r="I11" s="61">
        <f t="shared" ref="I11:AT11" si="5">IF($B$27="Y",I7*I27,0)</f>
        <v>206000</v>
      </c>
      <c r="J11" s="61">
        <f t="shared" si="5"/>
        <v>212180</v>
      </c>
      <c r="K11" s="61">
        <f t="shared" si="5"/>
        <v>218545.4</v>
      </c>
      <c r="L11" s="61">
        <f t="shared" si="5"/>
        <v>225101.76199999999</v>
      </c>
      <c r="M11" s="61">
        <f t="shared" si="5"/>
        <v>231854.81485999998</v>
      </c>
      <c r="N11" s="61">
        <f t="shared" si="5"/>
        <v>238810.4593058</v>
      </c>
      <c r="O11" s="61">
        <f t="shared" si="5"/>
        <v>245974.773084974</v>
      </c>
      <c r="P11" s="61">
        <f t="shared" si="5"/>
        <v>253354.01627752322</v>
      </c>
      <c r="Q11" s="61">
        <f t="shared" si="5"/>
        <v>260954.63676584893</v>
      </c>
      <c r="R11" s="61">
        <f t="shared" si="5"/>
        <v>268783.27586882439</v>
      </c>
      <c r="S11" s="61">
        <f t="shared" si="5"/>
        <v>276846.77414488915</v>
      </c>
      <c r="T11" s="61">
        <f t="shared" si="5"/>
        <v>285152.17736923584</v>
      </c>
      <c r="U11" s="61">
        <f t="shared" si="5"/>
        <v>293706.74269031291</v>
      </c>
      <c r="V11" s="61">
        <f t="shared" si="5"/>
        <v>302517.94497102231</v>
      </c>
      <c r="W11" s="61">
        <f t="shared" si="5"/>
        <v>311593.48332015297</v>
      </c>
      <c r="X11" s="61">
        <f t="shared" si="5"/>
        <v>320941.28781975759</v>
      </c>
      <c r="Y11" s="61">
        <f t="shared" si="5"/>
        <v>330569.52645435033</v>
      </c>
      <c r="Z11" s="61">
        <f t="shared" si="5"/>
        <v>340486.61224798084</v>
      </c>
      <c r="AA11" s="61">
        <f t="shared" si="5"/>
        <v>350701.21061542025</v>
      </c>
      <c r="AB11" s="61">
        <f t="shared" si="5"/>
        <v>361222.24693388288</v>
      </c>
      <c r="AC11" s="61">
        <f t="shared" si="5"/>
        <v>372058.91434189939</v>
      </c>
      <c r="AD11" s="61">
        <f t="shared" si="5"/>
        <v>383220.68177215639</v>
      </c>
      <c r="AE11" s="61">
        <f t="shared" si="5"/>
        <v>394717.30222532107</v>
      </c>
      <c r="AF11" s="61">
        <f t="shared" si="5"/>
        <v>406558.82129208068</v>
      </c>
      <c r="AG11" s="61">
        <f t="shared" si="5"/>
        <v>418755.58593084314</v>
      </c>
      <c r="AH11" s="61">
        <f t="shared" si="5"/>
        <v>431318.25350876845</v>
      </c>
      <c r="AI11" s="61">
        <f t="shared" si="5"/>
        <v>444257.80111403152</v>
      </c>
      <c r="AJ11" s="61">
        <f t="shared" si="5"/>
        <v>457585.53514745249</v>
      </c>
      <c r="AK11" s="61">
        <f t="shared" si="5"/>
        <v>471313.10120187607</v>
      </c>
      <c r="AL11" s="61">
        <f t="shared" si="5"/>
        <v>485452.49423793238</v>
      </c>
      <c r="AM11" s="61">
        <f t="shared" si="5"/>
        <v>500016.06906507036</v>
      </c>
      <c r="AN11" s="61">
        <f t="shared" si="5"/>
        <v>515016.5511370225</v>
      </c>
      <c r="AO11" s="61">
        <f t="shared" si="5"/>
        <v>530467.04767113319</v>
      </c>
      <c r="AP11" s="61">
        <f t="shared" si="5"/>
        <v>546381.05910126725</v>
      </c>
      <c r="AQ11" s="61">
        <f t="shared" si="5"/>
        <v>562772.49087430525</v>
      </c>
      <c r="AR11" s="61">
        <f t="shared" si="5"/>
        <v>579655.66560053441</v>
      </c>
      <c r="AS11" s="61">
        <f t="shared" si="5"/>
        <v>597045.33556855051</v>
      </c>
      <c r="AT11" s="61">
        <f t="shared" si="5"/>
        <v>614956.695635607</v>
      </c>
    </row>
    <row r="12" spans="1:47" x14ac:dyDescent="0.2">
      <c r="B12" s="2" t="s">
        <v>47</v>
      </c>
      <c r="H12" s="69">
        <f>SUM(H10:H11)</f>
        <v>200000</v>
      </c>
      <c r="I12" s="69">
        <f t="shared" ref="I12:AT12" si="6">SUM(I10:I11)</f>
        <v>206000</v>
      </c>
      <c r="J12" s="69">
        <f t="shared" si="6"/>
        <v>212180</v>
      </c>
      <c r="K12" s="69">
        <f t="shared" si="6"/>
        <v>218545.4</v>
      </c>
      <c r="L12" s="69">
        <f t="shared" si="6"/>
        <v>225101.76199999999</v>
      </c>
      <c r="M12" s="69">
        <f t="shared" si="6"/>
        <v>231854.81485999998</v>
      </c>
      <c r="N12" s="69">
        <f t="shared" si="6"/>
        <v>238810.4593058</v>
      </c>
      <c r="O12" s="69">
        <f t="shared" si="6"/>
        <v>245974.773084974</v>
      </c>
      <c r="P12" s="69">
        <f t="shared" si="6"/>
        <v>253354.01627752322</v>
      </c>
      <c r="Q12" s="69">
        <f t="shared" si="6"/>
        <v>260954.63676584893</v>
      </c>
      <c r="R12" s="69">
        <f t="shared" si="6"/>
        <v>268783.27586882439</v>
      </c>
      <c r="S12" s="69">
        <f t="shared" si="6"/>
        <v>276846.77414488915</v>
      </c>
      <c r="T12" s="69">
        <f t="shared" si="6"/>
        <v>285152.17736923584</v>
      </c>
      <c r="U12" s="69">
        <f t="shared" si="6"/>
        <v>293706.74269031291</v>
      </c>
      <c r="V12" s="69">
        <f t="shared" si="6"/>
        <v>302517.94497102231</v>
      </c>
      <c r="W12" s="69">
        <f t="shared" si="6"/>
        <v>311593.48332015297</v>
      </c>
      <c r="X12" s="69">
        <f t="shared" si="6"/>
        <v>320941.28781975759</v>
      </c>
      <c r="Y12" s="69">
        <f t="shared" si="6"/>
        <v>330569.52645435033</v>
      </c>
      <c r="Z12" s="69">
        <f t="shared" si="6"/>
        <v>340486.61224798084</v>
      </c>
      <c r="AA12" s="69">
        <f t="shared" si="6"/>
        <v>350701.21061542025</v>
      </c>
      <c r="AB12" s="69">
        <f t="shared" si="6"/>
        <v>361222.24693388288</v>
      </c>
      <c r="AC12" s="69">
        <f t="shared" si="6"/>
        <v>372058.91434189939</v>
      </c>
      <c r="AD12" s="69">
        <f t="shared" si="6"/>
        <v>383220.68177215639</v>
      </c>
      <c r="AE12" s="69">
        <f t="shared" si="6"/>
        <v>394717.30222532107</v>
      </c>
      <c r="AF12" s="69">
        <f t="shared" si="6"/>
        <v>406558.82129208068</v>
      </c>
      <c r="AG12" s="69">
        <f t="shared" si="6"/>
        <v>418755.58593084314</v>
      </c>
      <c r="AH12" s="69">
        <f t="shared" si="6"/>
        <v>431318.25350876845</v>
      </c>
      <c r="AI12" s="69">
        <f t="shared" si="6"/>
        <v>444257.80111403152</v>
      </c>
      <c r="AJ12" s="69">
        <f t="shared" si="6"/>
        <v>457585.53514745249</v>
      </c>
      <c r="AK12" s="69">
        <f t="shared" si="6"/>
        <v>471313.10120187607</v>
      </c>
      <c r="AL12" s="69">
        <f t="shared" si="6"/>
        <v>485452.49423793238</v>
      </c>
      <c r="AM12" s="69">
        <f t="shared" si="6"/>
        <v>500016.06906507036</v>
      </c>
      <c r="AN12" s="69">
        <f t="shared" si="6"/>
        <v>515016.5511370225</v>
      </c>
      <c r="AO12" s="69">
        <f t="shared" si="6"/>
        <v>530467.04767113319</v>
      </c>
      <c r="AP12" s="69">
        <f t="shared" si="6"/>
        <v>546381.05910126725</v>
      </c>
      <c r="AQ12" s="69">
        <f t="shared" si="6"/>
        <v>562772.49087430525</v>
      </c>
      <c r="AR12" s="69">
        <f t="shared" si="6"/>
        <v>579655.66560053441</v>
      </c>
      <c r="AS12" s="69">
        <f t="shared" si="6"/>
        <v>597045.33556855051</v>
      </c>
      <c r="AT12" s="69">
        <f t="shared" si="6"/>
        <v>614956.695635607</v>
      </c>
    </row>
    <row r="13" spans="1:47" ht="14.25" x14ac:dyDescent="0.25">
      <c r="B13" s="2" t="s">
        <v>48</v>
      </c>
      <c r="H13" s="62">
        <f>VLOOKUP(H2,'Mortality Table'!$A$5:$C$124, 3,FALSE)</f>
        <v>5.6300000000000002E-4</v>
      </c>
      <c r="I13" s="62">
        <f>VLOOKUP(I2,'Mortality Table'!$A$5:$C$124, 3,FALSE)</f>
        <v>5.9299999999999999E-4</v>
      </c>
      <c r="J13" s="62">
        <f>VLOOKUP(J2,'Mortality Table'!$A$5:$C$124, 3,FALSE)</f>
        <v>6.2699999999999995E-4</v>
      </c>
      <c r="K13" s="62">
        <f>VLOOKUP(K2,'Mortality Table'!$A$5:$C$124, 3,FALSE)</f>
        <v>6.6399999999999999E-4</v>
      </c>
      <c r="L13" s="62">
        <f>VLOOKUP(L2,'Mortality Table'!$A$5:$C$124, 3,FALSE)</f>
        <v>7.0500000000000001E-4</v>
      </c>
      <c r="M13" s="62">
        <f>VLOOKUP(M2,'Mortality Table'!$A$5:$C$124, 3,FALSE)</f>
        <v>7.4799999999999997E-4</v>
      </c>
      <c r="N13" s="62">
        <f>VLOOKUP(N2,'Mortality Table'!$A$5:$C$124, 3,FALSE)</f>
        <v>7.94E-4</v>
      </c>
      <c r="O13" s="62">
        <f>VLOOKUP(O2,'Mortality Table'!$A$5:$C$124, 3,FALSE)</f>
        <v>8.4500000000000005E-4</v>
      </c>
      <c r="P13" s="62">
        <f>VLOOKUP(P2,'Mortality Table'!$A$5:$C$124, 3,FALSE)</f>
        <v>9.0300000000000005E-4</v>
      </c>
      <c r="Q13" s="62">
        <f>VLOOKUP(Q2,'Mortality Table'!$A$5:$C$124, 3,FALSE)</f>
        <v>9.68E-4</v>
      </c>
      <c r="R13" s="62">
        <f>VLOOKUP(R2,'Mortality Table'!$A$5:$C$124, 3,FALSE)</f>
        <v>1.0380000000000001E-3</v>
      </c>
      <c r="S13" s="62">
        <f>VLOOKUP(S2,'Mortality Table'!$A$5:$C$124, 3,FALSE)</f>
        <v>1.1130000000000001E-3</v>
      </c>
      <c r="T13" s="62">
        <f>VLOOKUP(T2,'Mortality Table'!$A$5:$C$124, 3,FALSE)</f>
        <v>1.196E-3</v>
      </c>
      <c r="U13" s="62">
        <f>VLOOKUP(U2,'Mortality Table'!$A$5:$C$124, 3,FALSE)</f>
        <v>1.2869999999999999E-3</v>
      </c>
      <c r="V13" s="62">
        <f>VLOOKUP(V2,'Mortality Table'!$A$5:$C$124, 3,FALSE)</f>
        <v>1.3929999999999999E-3</v>
      </c>
      <c r="W13" s="62">
        <f>VLOOKUP(W2,'Mortality Table'!$A$5:$C$124, 3,FALSE)</f>
        <v>1.5169999999999999E-3</v>
      </c>
      <c r="X13" s="62">
        <f>VLOOKUP(X2,'Mortality Table'!$A$5:$C$124, 3,FALSE)</f>
        <v>1.6620000000000001E-3</v>
      </c>
      <c r="Y13" s="62">
        <f>VLOOKUP(Y2,'Mortality Table'!$A$5:$C$124, 3,FALSE)</f>
        <v>1.8270000000000001E-3</v>
      </c>
      <c r="Z13" s="62">
        <f>VLOOKUP(Z2,'Mortality Table'!$A$5:$C$124, 3,FALSE)</f>
        <v>2.0049999999999998E-3</v>
      </c>
      <c r="AA13" s="62">
        <f>VLOOKUP(AA2,'Mortality Table'!$A$5:$C$124, 3,FALSE)</f>
        <v>2.1979999999999999E-3</v>
      </c>
      <c r="AB13" s="62">
        <f>VLOOKUP(AB2,'Mortality Table'!$A$5:$C$124, 3,FALSE)</f>
        <v>2.4120000000000001E-3</v>
      </c>
      <c r="AC13" s="62">
        <f>VLOOKUP(AC2,'Mortality Table'!$A$5:$C$124, 3,FALSE)</f>
        <v>2.6480000000000002E-3</v>
      </c>
      <c r="AD13" s="62">
        <f>VLOOKUP(AD2,'Mortality Table'!$A$5:$C$124, 3,FALSE)</f>
        <v>2.9039999999999999E-3</v>
      </c>
      <c r="AE13" s="62">
        <f>VLOOKUP(AE2,'Mortality Table'!$A$5:$C$124, 3,FALSE)</f>
        <v>3.1819999999999999E-3</v>
      </c>
      <c r="AF13" s="62">
        <f>VLOOKUP(AF2,'Mortality Table'!$A$5:$C$124, 3,FALSE)</f>
        <v>3.473E-3</v>
      </c>
      <c r="AG13" s="62">
        <f>VLOOKUP(AG2,'Mortality Table'!$A$5:$C$124, 3,FALSE)</f>
        <v>3.7669999999999999E-3</v>
      </c>
      <c r="AH13" s="62">
        <f>VLOOKUP(AH2,'Mortality Table'!$A$5:$C$124, 3,FALSE)</f>
        <v>4.058E-3</v>
      </c>
      <c r="AI13" s="62">
        <f>VLOOKUP(AI2,'Mortality Table'!$A$5:$C$124, 3,FALSE)</f>
        <v>4.352E-3</v>
      </c>
      <c r="AJ13" s="62">
        <f>VLOOKUP(AJ2,'Mortality Table'!$A$5:$C$124, 3,FALSE)</f>
        <v>4.6810000000000003E-3</v>
      </c>
      <c r="AK13" s="62">
        <f>VLOOKUP(AK2,'Mortality Table'!$A$5:$C$124, 3,FALSE)</f>
        <v>5.0400000000000002E-3</v>
      </c>
      <c r="AL13" s="62">
        <f>VLOOKUP(AL2,'Mortality Table'!$A$5:$C$124, 3,FALSE)</f>
        <v>5.4000000000000003E-3</v>
      </c>
      <c r="AM13" s="62">
        <f>VLOOKUP(AM2,'Mortality Table'!$A$5:$C$124, 3,FALSE)</f>
        <v>5.7559999999999998E-3</v>
      </c>
      <c r="AN13" s="62">
        <f>VLOOKUP(AN2,'Mortality Table'!$A$5:$C$124, 3,FALSE)</f>
        <v>6.1279999999999998E-3</v>
      </c>
      <c r="AO13" s="62">
        <f>VLOOKUP(AO2,'Mortality Table'!$A$5:$C$124, 3,FALSE)</f>
        <v>6.5449999999999996E-3</v>
      </c>
      <c r="AP13" s="62">
        <f>VLOOKUP(AP2,'Mortality Table'!$A$5:$C$124, 3,FALSE)</f>
        <v>7.0340000000000003E-3</v>
      </c>
      <c r="AQ13" s="62">
        <f>VLOOKUP(AQ2,'Mortality Table'!$A$5:$C$124, 3,FALSE)</f>
        <v>7.607E-3</v>
      </c>
      <c r="AR13" s="62">
        <f>VLOOKUP(AR2,'Mortality Table'!$A$5:$C$124, 3,FALSE)</f>
        <v>8.2810000000000002E-3</v>
      </c>
      <c r="AS13" s="62">
        <f>VLOOKUP(AS2,'Mortality Table'!$A$5:$C$124, 3,FALSE)</f>
        <v>9.0570000000000008E-3</v>
      </c>
      <c r="AT13" s="62">
        <f>VLOOKUP(AT2,'Mortality Table'!$A$5:$C$124, 3,FALSE)</f>
        <v>9.953E-3</v>
      </c>
      <c r="AU13" s="62"/>
    </row>
    <row r="14" spans="1:47" ht="14.25" x14ac:dyDescent="0.25">
      <c r="B14" s="2" t="s">
        <v>49</v>
      </c>
      <c r="H14" s="62">
        <f>1-H13</f>
        <v>0.99943700000000002</v>
      </c>
      <c r="I14" s="62">
        <f t="shared" ref="I14:AT14" si="7">1-I13</f>
        <v>0.99940700000000005</v>
      </c>
      <c r="J14" s="62">
        <f t="shared" si="7"/>
        <v>0.99937299999999996</v>
      </c>
      <c r="K14" s="62">
        <f t="shared" si="7"/>
        <v>0.999336</v>
      </c>
      <c r="L14" s="62">
        <f t="shared" si="7"/>
        <v>0.99929500000000004</v>
      </c>
      <c r="M14" s="62">
        <f t="shared" si="7"/>
        <v>0.99925200000000003</v>
      </c>
      <c r="N14" s="62">
        <f t="shared" si="7"/>
        <v>0.99920600000000004</v>
      </c>
      <c r="O14" s="62">
        <f t="shared" si="7"/>
        <v>0.99915500000000002</v>
      </c>
      <c r="P14" s="62">
        <f t="shared" si="7"/>
        <v>0.99909700000000001</v>
      </c>
      <c r="Q14" s="62">
        <f t="shared" si="7"/>
        <v>0.99903200000000003</v>
      </c>
      <c r="R14" s="62">
        <f t="shared" si="7"/>
        <v>0.99896200000000002</v>
      </c>
      <c r="S14" s="62">
        <f t="shared" si="7"/>
        <v>0.99888699999999997</v>
      </c>
      <c r="T14" s="62">
        <f t="shared" si="7"/>
        <v>0.99880400000000003</v>
      </c>
      <c r="U14" s="62">
        <f t="shared" si="7"/>
        <v>0.99871299999999996</v>
      </c>
      <c r="V14" s="62">
        <f t="shared" si="7"/>
        <v>0.99860700000000002</v>
      </c>
      <c r="W14" s="62">
        <f t="shared" si="7"/>
        <v>0.99848300000000001</v>
      </c>
      <c r="X14" s="62">
        <f t="shared" si="7"/>
        <v>0.99833799999999995</v>
      </c>
      <c r="Y14" s="62">
        <f t="shared" si="7"/>
        <v>0.99817299999999998</v>
      </c>
      <c r="Z14" s="62">
        <f t="shared" si="7"/>
        <v>0.99799499999999997</v>
      </c>
      <c r="AA14" s="62">
        <f t="shared" si="7"/>
        <v>0.99780199999999997</v>
      </c>
      <c r="AB14" s="62">
        <f t="shared" si="7"/>
        <v>0.99758800000000003</v>
      </c>
      <c r="AC14" s="62">
        <f t="shared" si="7"/>
        <v>0.99735200000000002</v>
      </c>
      <c r="AD14" s="62">
        <f t="shared" si="7"/>
        <v>0.99709599999999998</v>
      </c>
      <c r="AE14" s="62">
        <f t="shared" si="7"/>
        <v>0.99681799999999998</v>
      </c>
      <c r="AF14" s="62">
        <f t="shared" si="7"/>
        <v>0.99652700000000005</v>
      </c>
      <c r="AG14" s="62">
        <f t="shared" si="7"/>
        <v>0.99623300000000004</v>
      </c>
      <c r="AH14" s="62">
        <f t="shared" si="7"/>
        <v>0.99594199999999999</v>
      </c>
      <c r="AI14" s="62">
        <f t="shared" si="7"/>
        <v>0.99564799999999998</v>
      </c>
      <c r="AJ14" s="62">
        <f t="shared" si="7"/>
        <v>0.99531899999999995</v>
      </c>
      <c r="AK14" s="62">
        <f t="shared" si="7"/>
        <v>0.99495999999999996</v>
      </c>
      <c r="AL14" s="62">
        <f t="shared" si="7"/>
        <v>0.99460000000000004</v>
      </c>
      <c r="AM14" s="62">
        <f t="shared" si="7"/>
        <v>0.99424400000000002</v>
      </c>
      <c r="AN14" s="62">
        <f t="shared" si="7"/>
        <v>0.99387199999999998</v>
      </c>
      <c r="AO14" s="62">
        <f t="shared" si="7"/>
        <v>0.99345499999999998</v>
      </c>
      <c r="AP14" s="62">
        <f t="shared" si="7"/>
        <v>0.99296600000000002</v>
      </c>
      <c r="AQ14" s="62">
        <f t="shared" si="7"/>
        <v>0.99239299999999997</v>
      </c>
      <c r="AR14" s="62">
        <f t="shared" si="7"/>
        <v>0.99171900000000002</v>
      </c>
      <c r="AS14" s="62">
        <f t="shared" si="7"/>
        <v>0.99094300000000002</v>
      </c>
      <c r="AT14" s="62">
        <f t="shared" si="7"/>
        <v>0.99004700000000001</v>
      </c>
      <c r="AU14" s="62"/>
    </row>
    <row r="15" spans="1:47" x14ac:dyDescent="0.2">
      <c r="B15" s="2" t="s">
        <v>50</v>
      </c>
      <c r="H15" s="62">
        <f>H13</f>
        <v>5.6300000000000002E-4</v>
      </c>
      <c r="I15" s="62">
        <f>PRODUCT($H$14:H14)*I13</f>
        <v>5.9266614100000003E-4</v>
      </c>
      <c r="J15" s="62">
        <f>PRODUCT($H$14:I14)*J13</f>
        <v>6.2627539732959298E-4</v>
      </c>
      <c r="K15" s="62">
        <f>PRODUCT($H$14:J14)*K13</f>
        <v>6.628167908185492E-4</v>
      </c>
      <c r="L15" s="62">
        <f>PRODUCT($H$14:K14)*L13</f>
        <v>7.0327644537795052E-4</v>
      </c>
      <c r="M15" s="62">
        <f>PRODUCT($H$14:L14)*M13</f>
        <v>7.4564526998865445E-4</v>
      </c>
      <c r="N15" s="62">
        <f>PRODUCT($H$14:M14)*N13</f>
        <v>7.9090841804465531E-4</v>
      </c>
      <c r="O15" s="62">
        <f>PRODUCT($H$14:N14)*O13</f>
        <v>8.4104152274913743E-4</v>
      </c>
      <c r="P15" s="62">
        <f>PRODUCT($H$14:O14)*P13</f>
        <v>8.9801035612326649E-4</v>
      </c>
      <c r="Q15" s="62">
        <f>PRODUCT($H$14:P14)*Q13</f>
        <v>9.6178191614949414E-4</v>
      </c>
      <c r="R15" s="62">
        <f>PRODUCT($H$14:Q14)*R13</f>
        <v>1.0303339316966307E-3</v>
      </c>
      <c r="S15" s="62">
        <f>PRODUCT($H$14:R14)*S13</f>
        <v>1.103633263361334E-3</v>
      </c>
      <c r="T15" s="62">
        <f>PRODUCT($H$14:S14)*T13</f>
        <v>1.1846148102146435E-3</v>
      </c>
      <c r="U15" s="62">
        <f>PRODUCT($H$14:T14)*U13</f>
        <v>1.2732239465137072E-3</v>
      </c>
      <c r="V15" s="62">
        <f>PRODUCT($H$14:U14)*V13</f>
        <v>1.3763157211043511E-3</v>
      </c>
      <c r="W15" s="62">
        <f>PRODUCT($H$14:V14)*W13</f>
        <v>1.4967426738574741E-3</v>
      </c>
      <c r="X15" s="62">
        <f>PRODUCT($H$14:W14)*X13</f>
        <v>1.6373188236636048E-3</v>
      </c>
      <c r="Y15" s="62">
        <f>PRODUCT($H$14:X14)*Y13</f>
        <v>1.7968771448830568E-3</v>
      </c>
      <c r="Z15" s="62">
        <f>PRODUCT($H$14:Y14)*Z13</f>
        <v>1.9683396124413831E-3</v>
      </c>
      <c r="AA15" s="62">
        <f>PRODUCT($H$14:Z14)*AA13</f>
        <v>2.1534842968366718E-3</v>
      </c>
      <c r="AB15" s="62">
        <f>PRODUCT($H$14:AA14)*AB13</f>
        <v>2.3579559887650439E-3</v>
      </c>
      <c r="AC15" s="62">
        <f>PRODUCT($H$14:AB14)*AC13</f>
        <v>2.582424232977006E-3</v>
      </c>
      <c r="AD15" s="62">
        <f>PRODUCT($H$14:AC14)*AD13</f>
        <v>2.8245852218118854E-3</v>
      </c>
      <c r="AE15" s="62">
        <f>PRODUCT($H$14:AD14)*AE13</f>
        <v>3.0859950127323965E-3</v>
      </c>
      <c r="AF15" s="62">
        <f>PRODUCT($H$14:AE14)*AF13</f>
        <v>3.3574975119227959E-3</v>
      </c>
      <c r="AG15" s="62">
        <f>PRODUCT($H$14:AF14)*AG13</f>
        <v>3.6290721823154814E-3</v>
      </c>
      <c r="AH15" s="62">
        <f>PRODUCT($H$14:AG14)*AH13</f>
        <v>3.8946905109445897E-3</v>
      </c>
      <c r="AI15" s="62">
        <f>PRODUCT($H$14:AH14)*AI13</f>
        <v>4.1599091298709515E-3</v>
      </c>
      <c r="AJ15" s="62">
        <f>PRODUCT($H$14:AI14)*AJ13</f>
        <v>4.4549150198037735E-3</v>
      </c>
      <c r="AK15" s="62">
        <f>PRODUCT($H$14:AJ14)*AK13</f>
        <v>4.7741231094817777E-3</v>
      </c>
      <c r="AL15" s="62">
        <f>PRODUCT($H$14:AK14)*AL13</f>
        <v>5.0893516382249891E-3</v>
      </c>
      <c r="AM15" s="62">
        <f>PRODUCT($H$14:AL14)*AM13</f>
        <v>5.3955775493079762E-3</v>
      </c>
      <c r="AN15" s="62">
        <f>PRODUCT($H$14:AM14)*AN13</f>
        <v>5.711219990798563E-3</v>
      </c>
      <c r="AO15" s="62">
        <f>PRODUCT($H$14:AN14)*AO13</f>
        <v>6.0624788836616253E-3</v>
      </c>
      <c r="AP15" s="62">
        <f>PRODUCT($H$14:AO14)*AP13</f>
        <v>6.4727845552627868E-3</v>
      </c>
      <c r="AQ15" s="62">
        <f>PRODUCT($H$14:AP14)*AQ13</f>
        <v>6.9508286464385876E-3</v>
      </c>
      <c r="AR15" s="62">
        <f>PRODUCT($H$14:AQ14)*AR13</f>
        <v>7.5091303445659254E-3</v>
      </c>
      <c r="AS15" s="62">
        <f>PRODUCT($H$14:AR14)*AS13</f>
        <v>8.1447894116780089E-3</v>
      </c>
      <c r="AT15" s="62">
        <f>PRODUCT($H$14:AS14)*AT13</f>
        <v>8.8694802366376859E-3</v>
      </c>
    </row>
    <row r="16" spans="1:47" x14ac:dyDescent="0.2">
      <c r="B16" s="2" t="s">
        <v>51</v>
      </c>
      <c r="H16" s="69">
        <f>H12*H15</f>
        <v>112.60000000000001</v>
      </c>
      <c r="I16" s="69">
        <f t="shared" ref="I16:AT16" si="8">I12*I15</f>
        <v>122.08922504600001</v>
      </c>
      <c r="J16" s="69">
        <f t="shared" si="8"/>
        <v>132.88311380539304</v>
      </c>
      <c r="K16" s="69">
        <f t="shared" si="8"/>
        <v>144.85556067615616</v>
      </c>
      <c r="L16" s="69">
        <f t="shared" si="8"/>
        <v>158.30876702767341</v>
      </c>
      <c r="M16" s="69">
        <f t="shared" si="8"/>
        <v>172.88144602445419</v>
      </c>
      <c r="N16" s="69">
        <f t="shared" si="8"/>
        <v>188.87720258206781</v>
      </c>
      <c r="O16" s="69">
        <f t="shared" si="8"/>
        <v>206.87499771326009</v>
      </c>
      <c r="P16" s="69">
        <f t="shared" si="8"/>
        <v>227.51453038263847</v>
      </c>
      <c r="Q16" s="69">
        <f t="shared" si="8"/>
        <v>250.98145057675342</v>
      </c>
      <c r="R16" s="69">
        <f t="shared" si="8"/>
        <v>276.93652940022594</v>
      </c>
      <c r="S16" s="69">
        <f t="shared" si="8"/>
        <v>305.5373088005822</v>
      </c>
      <c r="T16" s="69">
        <f t="shared" si="8"/>
        <v>337.79549247654967</v>
      </c>
      <c r="U16" s="69">
        <f t="shared" si="8"/>
        <v>373.95445804584614</v>
      </c>
      <c r="V16" s="69">
        <f t="shared" si="8"/>
        <v>416.36020357979896</v>
      </c>
      <c r="W16" s="69">
        <f t="shared" si="8"/>
        <v>466.37526338116999</v>
      </c>
      <c r="X16" s="69">
        <f t="shared" si="8"/>
        <v>525.48321183812789</v>
      </c>
      <c r="Y16" s="69">
        <f t="shared" si="8"/>
        <v>593.99282688063715</v>
      </c>
      <c r="Z16" s="69">
        <f t="shared" si="8"/>
        <v>670.19328639367006</v>
      </c>
      <c r="AA16" s="69">
        <f t="shared" si="8"/>
        <v>755.22954994191775</v>
      </c>
      <c r="AB16" s="69">
        <f t="shared" si="8"/>
        <v>851.74616043291462</v>
      </c>
      <c r="AC16" s="69">
        <f t="shared" si="8"/>
        <v>960.8139564916371</v>
      </c>
      <c r="AD16" s="69">
        <f t="shared" si="8"/>
        <v>1082.4394744263084</v>
      </c>
      <c r="AE16" s="69">
        <f t="shared" si="8"/>
        <v>1218.0956261065269</v>
      </c>
      <c r="AF16" s="69">
        <f t="shared" si="8"/>
        <v>1365.0202309384256</v>
      </c>
      <c r="AG16" s="69">
        <f t="shared" si="8"/>
        <v>1519.6942480908431</v>
      </c>
      <c r="AH16" s="69">
        <f t="shared" si="8"/>
        <v>1679.8511091377934</v>
      </c>
      <c r="AI16" s="69">
        <f t="shared" si="8"/>
        <v>1848.072082870653</v>
      </c>
      <c r="AJ16" s="69">
        <f t="shared" si="8"/>
        <v>2038.5046733733336</v>
      </c>
      <c r="AK16" s="69">
        <f t="shared" si="8"/>
        <v>2250.1067682494004</v>
      </c>
      <c r="AL16" s="69">
        <f t="shared" si="8"/>
        <v>2470.6384468302281</v>
      </c>
      <c r="AM16" s="69">
        <f t="shared" si="8"/>
        <v>2697.8754765407202</v>
      </c>
      <c r="AN16" s="69">
        <f t="shared" si="8"/>
        <v>2941.3728224458932</v>
      </c>
      <c r="AO16" s="69">
        <f t="shared" si="8"/>
        <v>3215.9452749845696</v>
      </c>
      <c r="AP16" s="69">
        <f t="shared" si="8"/>
        <v>3536.6068806388066</v>
      </c>
      <c r="AQ16" s="69">
        <f t="shared" si="8"/>
        <v>3911.7351509967198</v>
      </c>
      <c r="AR16" s="69">
        <f t="shared" si="8"/>
        <v>4352.7099479605322</v>
      </c>
      <c r="AS16" s="69">
        <f t="shared" si="8"/>
        <v>4862.808527430474</v>
      </c>
      <c r="AT16" s="69">
        <f t="shared" si="8"/>
        <v>5454.3462583280334</v>
      </c>
    </row>
    <row r="17" spans="1:46" x14ac:dyDescent="0.2">
      <c r="B17" s="2" t="s">
        <v>52</v>
      </c>
      <c r="H17" s="62">
        <f>(1+H29)^-(H1)</f>
        <v>0.95238095238095233</v>
      </c>
      <c r="I17" s="62">
        <f t="shared" ref="I17:AT17" si="9">+(1+I29)^-I1</f>
        <v>0.90702947845804982</v>
      </c>
      <c r="J17" s="62">
        <f t="shared" si="9"/>
        <v>0.86383759853147601</v>
      </c>
      <c r="K17" s="62">
        <f t="shared" si="9"/>
        <v>0.82270247479188197</v>
      </c>
      <c r="L17" s="62">
        <f t="shared" si="9"/>
        <v>0.78352616646845896</v>
      </c>
      <c r="M17" s="62">
        <f t="shared" si="9"/>
        <v>0.74621539663662761</v>
      </c>
      <c r="N17" s="62">
        <f t="shared" si="9"/>
        <v>0.71068133013012147</v>
      </c>
      <c r="O17" s="62">
        <f t="shared" si="9"/>
        <v>0.67683936202868722</v>
      </c>
      <c r="P17" s="62">
        <f t="shared" si="9"/>
        <v>0.64460891621779726</v>
      </c>
      <c r="Q17" s="62">
        <f t="shared" si="9"/>
        <v>0.61391325354075932</v>
      </c>
      <c r="R17" s="62">
        <f t="shared" si="9"/>
        <v>0.5846792890864374</v>
      </c>
      <c r="S17" s="62">
        <f t="shared" si="9"/>
        <v>0.5568374181775595</v>
      </c>
      <c r="T17" s="62">
        <f t="shared" si="9"/>
        <v>0.53032135064529462</v>
      </c>
      <c r="U17" s="62">
        <f t="shared" si="9"/>
        <v>0.50506795299551888</v>
      </c>
      <c r="V17" s="62">
        <f t="shared" si="9"/>
        <v>0.48101709809097021</v>
      </c>
      <c r="W17" s="62">
        <f t="shared" si="9"/>
        <v>0.45811152199140021</v>
      </c>
      <c r="X17" s="62">
        <f t="shared" si="9"/>
        <v>0.43629668761085727</v>
      </c>
      <c r="Y17" s="62">
        <f t="shared" si="9"/>
        <v>0.41552065486748313</v>
      </c>
      <c r="Z17" s="62">
        <f t="shared" si="9"/>
        <v>0.39573395701665059</v>
      </c>
      <c r="AA17" s="62">
        <f t="shared" si="9"/>
        <v>0.37688948287300061</v>
      </c>
      <c r="AB17" s="62">
        <f t="shared" si="9"/>
        <v>0.35894236464095297</v>
      </c>
      <c r="AC17" s="62">
        <f t="shared" si="9"/>
        <v>0.3418498710866219</v>
      </c>
      <c r="AD17" s="62">
        <f t="shared" si="9"/>
        <v>0.32557130579678267</v>
      </c>
      <c r="AE17" s="62">
        <f t="shared" si="9"/>
        <v>0.31006791028265024</v>
      </c>
      <c r="AF17" s="62">
        <f t="shared" si="9"/>
        <v>0.29530277169776209</v>
      </c>
      <c r="AG17" s="62">
        <f t="shared" si="9"/>
        <v>0.28124073495024959</v>
      </c>
      <c r="AH17" s="62">
        <f t="shared" si="9"/>
        <v>0.2678483190002377</v>
      </c>
      <c r="AI17" s="62">
        <f t="shared" si="9"/>
        <v>0.25509363714308358</v>
      </c>
      <c r="AJ17" s="62">
        <f t="shared" si="9"/>
        <v>0.24294632108865097</v>
      </c>
      <c r="AK17" s="62">
        <f t="shared" si="9"/>
        <v>0.23137744865585813</v>
      </c>
      <c r="AL17" s="62">
        <f t="shared" si="9"/>
        <v>0.220359474910341</v>
      </c>
      <c r="AM17" s="62">
        <f t="shared" si="9"/>
        <v>0.20986616658127716</v>
      </c>
      <c r="AN17" s="62">
        <f t="shared" si="9"/>
        <v>0.19987253960121634</v>
      </c>
      <c r="AO17" s="62">
        <f t="shared" si="9"/>
        <v>0.19035479962020604</v>
      </c>
      <c r="AP17" s="62">
        <f t="shared" si="9"/>
        <v>0.18129028535257716</v>
      </c>
      <c r="AQ17" s="62">
        <f t="shared" si="9"/>
        <v>0.17265741462150208</v>
      </c>
      <c r="AR17" s="62">
        <f t="shared" si="9"/>
        <v>0.1644356329728591</v>
      </c>
      <c r="AS17" s="62">
        <f t="shared" si="9"/>
        <v>0.15660536473605632</v>
      </c>
      <c r="AT17" s="62">
        <f t="shared" si="9"/>
        <v>0.14914796641529171</v>
      </c>
    </row>
    <row r="18" spans="1:46" x14ac:dyDescent="0.2">
      <c r="B18" s="2" t="s">
        <v>53</v>
      </c>
      <c r="H18" s="69">
        <f>H16*H17</f>
        <v>107.23809523809524</v>
      </c>
      <c r="I18" s="69">
        <f t="shared" ref="I18:AT18" si="10">I16*I17</f>
        <v>110.73852611882086</v>
      </c>
      <c r="J18" s="69">
        <f t="shared" si="10"/>
        <v>114.78942991503556</v>
      </c>
      <c r="K18" s="69">
        <f t="shared" si="10"/>
        <v>119.1730282556393</v>
      </c>
      <c r="L18" s="69">
        <f t="shared" si="10"/>
        <v>124.03906134754132</v>
      </c>
      <c r="M18" s="69">
        <f t="shared" si="10"/>
        <v>129.00679681625181</v>
      </c>
      <c r="N18" s="69">
        <f t="shared" si="10"/>
        <v>134.23150156228036</v>
      </c>
      <c r="O18" s="69">
        <f t="shared" si="10"/>
        <v>140.02114147192907</v>
      </c>
      <c r="P18" s="69">
        <f t="shared" si="10"/>
        <v>146.6578948537537</v>
      </c>
      <c r="Q18" s="69">
        <f t="shared" si="10"/>
        <v>154.08083890195397</v>
      </c>
      <c r="R18" s="69">
        <f t="shared" si="10"/>
        <v>161.91905313178938</v>
      </c>
      <c r="S18" s="69">
        <f t="shared" si="10"/>
        <v>170.13460618943591</v>
      </c>
      <c r="T18" s="69">
        <f t="shared" si="10"/>
        <v>179.14016181205628</v>
      </c>
      <c r="U18" s="69">
        <f t="shared" si="10"/>
        <v>188.87241263876416</v>
      </c>
      <c r="V18" s="69">
        <f t="shared" si="10"/>
        <v>200.2763768865205</v>
      </c>
      <c r="W18" s="69">
        <f t="shared" si="10"/>
        <v>213.65188172668792</v>
      </c>
      <c r="X18" s="69">
        <f t="shared" si="10"/>
        <v>229.26658472008961</v>
      </c>
      <c r="Y18" s="69">
        <f t="shared" si="10"/>
        <v>246.81628841202988</v>
      </c>
      <c r="Z18" s="69">
        <f t="shared" si="10"/>
        <v>265.21824119056043</v>
      </c>
      <c r="AA18" s="69">
        <f t="shared" si="10"/>
        <v>284.63807452801836</v>
      </c>
      <c r="AB18" s="69">
        <f t="shared" si="10"/>
        <v>305.72778089964288</v>
      </c>
      <c r="AC18" s="69">
        <f t="shared" si="10"/>
        <v>328.45412716489329</v>
      </c>
      <c r="AD18" s="69">
        <f t="shared" si="10"/>
        <v>352.41123313495638</v>
      </c>
      <c r="AE18" s="69">
        <f t="shared" si="10"/>
        <v>377.69236531128723</v>
      </c>
      <c r="AF18" s="69">
        <f t="shared" si="10"/>
        <v>403.09425761963638</v>
      </c>
      <c r="AG18" s="69">
        <f t="shared" si="10"/>
        <v>427.39992723273565</v>
      </c>
      <c r="AH18" s="69">
        <f t="shared" si="10"/>
        <v>449.94529575324282</v>
      </c>
      <c r="AI18" s="69">
        <f t="shared" si="10"/>
        <v>471.43142932206905</v>
      </c>
      <c r="AJ18" s="69">
        <f t="shared" si="10"/>
        <v>495.24721091807345</v>
      </c>
      <c r="AK18" s="69">
        <f t="shared" si="10"/>
        <v>520.62396324082454</v>
      </c>
      <c r="AL18" s="69">
        <f t="shared" si="10"/>
        <v>544.42859083680946</v>
      </c>
      <c r="AM18" s="69">
        <f t="shared" si="10"/>
        <v>566.19278417523731</v>
      </c>
      <c r="AN18" s="69">
        <f t="shared" si="10"/>
        <v>587.89965593625823</v>
      </c>
      <c r="AO18" s="69">
        <f t="shared" si="10"/>
        <v>612.17061840923611</v>
      </c>
      <c r="AP18" s="69">
        <f t="shared" si="10"/>
        <v>641.15247057089698</v>
      </c>
      <c r="AQ18" s="69">
        <f t="shared" si="10"/>
        <v>675.39007785514468</v>
      </c>
      <c r="AR18" s="69">
        <f t="shared" si="10"/>
        <v>715.74061544015069</v>
      </c>
      <c r="AS18" s="69">
        <f t="shared" si="10"/>
        <v>761.54190307985436</v>
      </c>
      <c r="AT18" s="69">
        <f t="shared" si="10"/>
        <v>813.50465255448148</v>
      </c>
    </row>
    <row r="20" spans="1:46" x14ac:dyDescent="0.2">
      <c r="B20" s="1" t="s">
        <v>54</v>
      </c>
      <c r="C20" s="1"/>
      <c r="D20" s="1"/>
      <c r="E20" s="1"/>
      <c r="F20" s="1"/>
      <c r="G20" s="63">
        <f>SUM(H18:AT18)</f>
        <v>13469.958955172686</v>
      </c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</row>
    <row r="23" spans="1:46" x14ac:dyDescent="0.2">
      <c r="B23" s="5" t="s">
        <v>55</v>
      </c>
    </row>
    <row r="25" spans="1:46" x14ac:dyDescent="0.2">
      <c r="C25" s="2" t="s">
        <v>21</v>
      </c>
      <c r="E25" s="38"/>
      <c r="H25" s="64"/>
      <c r="I25" s="41">
        <v>0.03</v>
      </c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</row>
    <row r="26" spans="1:46" x14ac:dyDescent="0.2">
      <c r="A26" s="2" t="s">
        <v>56</v>
      </c>
      <c r="B26" s="65" t="s">
        <v>58</v>
      </c>
      <c r="C26" s="2" t="s">
        <v>45</v>
      </c>
      <c r="E26" s="66"/>
      <c r="H26" s="67">
        <v>50000</v>
      </c>
      <c r="I26" s="67">
        <f>H26</f>
        <v>50000</v>
      </c>
      <c r="J26" s="67">
        <f t="shared" ref="J26:AT26" si="11">I26</f>
        <v>50000</v>
      </c>
      <c r="K26" s="67">
        <f t="shared" si="11"/>
        <v>50000</v>
      </c>
      <c r="L26" s="67">
        <f t="shared" si="11"/>
        <v>50000</v>
      </c>
      <c r="M26" s="67">
        <f t="shared" si="11"/>
        <v>50000</v>
      </c>
      <c r="N26" s="67">
        <f t="shared" si="11"/>
        <v>50000</v>
      </c>
      <c r="O26" s="67">
        <f t="shared" si="11"/>
        <v>50000</v>
      </c>
      <c r="P26" s="67">
        <f t="shared" si="11"/>
        <v>50000</v>
      </c>
      <c r="Q26" s="67">
        <f t="shared" si="11"/>
        <v>50000</v>
      </c>
      <c r="R26" s="67">
        <f t="shared" si="11"/>
        <v>50000</v>
      </c>
      <c r="S26" s="67">
        <f t="shared" si="11"/>
        <v>50000</v>
      </c>
      <c r="T26" s="67">
        <f t="shared" si="11"/>
        <v>50000</v>
      </c>
      <c r="U26" s="67">
        <f t="shared" si="11"/>
        <v>50000</v>
      </c>
      <c r="V26" s="67">
        <f t="shared" si="11"/>
        <v>50000</v>
      </c>
      <c r="W26" s="67">
        <f t="shared" si="11"/>
        <v>50000</v>
      </c>
      <c r="X26" s="67">
        <f t="shared" si="11"/>
        <v>50000</v>
      </c>
      <c r="Y26" s="67">
        <f t="shared" si="11"/>
        <v>50000</v>
      </c>
      <c r="Z26" s="67">
        <f t="shared" si="11"/>
        <v>50000</v>
      </c>
      <c r="AA26" s="67">
        <f t="shared" si="11"/>
        <v>50000</v>
      </c>
      <c r="AB26" s="67">
        <f t="shared" si="11"/>
        <v>50000</v>
      </c>
      <c r="AC26" s="67">
        <f t="shared" si="11"/>
        <v>50000</v>
      </c>
      <c r="AD26" s="67">
        <f t="shared" si="11"/>
        <v>50000</v>
      </c>
      <c r="AE26" s="67">
        <f t="shared" si="11"/>
        <v>50000</v>
      </c>
      <c r="AF26" s="67">
        <f t="shared" si="11"/>
        <v>50000</v>
      </c>
      <c r="AG26" s="67">
        <f t="shared" si="11"/>
        <v>50000</v>
      </c>
      <c r="AH26" s="67">
        <f t="shared" si="11"/>
        <v>50000</v>
      </c>
      <c r="AI26" s="67">
        <f t="shared" si="11"/>
        <v>50000</v>
      </c>
      <c r="AJ26" s="67">
        <f t="shared" si="11"/>
        <v>50000</v>
      </c>
      <c r="AK26" s="67">
        <f t="shared" si="11"/>
        <v>50000</v>
      </c>
      <c r="AL26" s="67">
        <f t="shared" si="11"/>
        <v>50000</v>
      </c>
      <c r="AM26" s="67">
        <f t="shared" si="11"/>
        <v>50000</v>
      </c>
      <c r="AN26" s="67">
        <f t="shared" si="11"/>
        <v>50000</v>
      </c>
      <c r="AO26" s="67">
        <f t="shared" si="11"/>
        <v>50000</v>
      </c>
      <c r="AP26" s="67">
        <f t="shared" si="11"/>
        <v>50000</v>
      </c>
      <c r="AQ26" s="67">
        <f t="shared" si="11"/>
        <v>50000</v>
      </c>
      <c r="AR26" s="67">
        <f t="shared" si="11"/>
        <v>50000</v>
      </c>
      <c r="AS26" s="67">
        <f t="shared" si="11"/>
        <v>50000</v>
      </c>
      <c r="AT26" s="67">
        <f t="shared" si="11"/>
        <v>50000</v>
      </c>
    </row>
    <row r="27" spans="1:46" x14ac:dyDescent="0.2">
      <c r="A27" s="2" t="s">
        <v>56</v>
      </c>
      <c r="B27" s="65" t="s">
        <v>57</v>
      </c>
      <c r="C27" s="2" t="s">
        <v>59</v>
      </c>
      <c r="E27" s="38"/>
      <c r="H27" s="40">
        <v>2</v>
      </c>
      <c r="I27" s="40">
        <f>H27</f>
        <v>2</v>
      </c>
      <c r="J27" s="40">
        <f t="shared" ref="J27:AT27" si="12">I27</f>
        <v>2</v>
      </c>
      <c r="K27" s="40">
        <f t="shared" si="12"/>
        <v>2</v>
      </c>
      <c r="L27" s="40">
        <f t="shared" si="12"/>
        <v>2</v>
      </c>
      <c r="M27" s="40">
        <f t="shared" si="12"/>
        <v>2</v>
      </c>
      <c r="N27" s="40">
        <f t="shared" si="12"/>
        <v>2</v>
      </c>
      <c r="O27" s="40">
        <f t="shared" si="12"/>
        <v>2</v>
      </c>
      <c r="P27" s="40">
        <f t="shared" si="12"/>
        <v>2</v>
      </c>
      <c r="Q27" s="40">
        <f t="shared" si="12"/>
        <v>2</v>
      </c>
      <c r="R27" s="40">
        <f t="shared" si="12"/>
        <v>2</v>
      </c>
      <c r="S27" s="40">
        <f t="shared" si="12"/>
        <v>2</v>
      </c>
      <c r="T27" s="40">
        <f t="shared" si="12"/>
        <v>2</v>
      </c>
      <c r="U27" s="40">
        <f t="shared" si="12"/>
        <v>2</v>
      </c>
      <c r="V27" s="40">
        <f t="shared" si="12"/>
        <v>2</v>
      </c>
      <c r="W27" s="40">
        <f t="shared" si="12"/>
        <v>2</v>
      </c>
      <c r="X27" s="40">
        <f t="shared" si="12"/>
        <v>2</v>
      </c>
      <c r="Y27" s="40">
        <f t="shared" si="12"/>
        <v>2</v>
      </c>
      <c r="Z27" s="40">
        <f t="shared" si="12"/>
        <v>2</v>
      </c>
      <c r="AA27" s="40">
        <f t="shared" si="12"/>
        <v>2</v>
      </c>
      <c r="AB27" s="40">
        <f t="shared" si="12"/>
        <v>2</v>
      </c>
      <c r="AC27" s="40">
        <f t="shared" si="12"/>
        <v>2</v>
      </c>
      <c r="AD27" s="40">
        <f t="shared" si="12"/>
        <v>2</v>
      </c>
      <c r="AE27" s="40">
        <f t="shared" si="12"/>
        <v>2</v>
      </c>
      <c r="AF27" s="40">
        <f t="shared" si="12"/>
        <v>2</v>
      </c>
      <c r="AG27" s="40">
        <f t="shared" si="12"/>
        <v>2</v>
      </c>
      <c r="AH27" s="40">
        <f t="shared" si="12"/>
        <v>2</v>
      </c>
      <c r="AI27" s="40">
        <f t="shared" si="12"/>
        <v>2</v>
      </c>
      <c r="AJ27" s="40">
        <f t="shared" si="12"/>
        <v>2</v>
      </c>
      <c r="AK27" s="40">
        <f t="shared" si="12"/>
        <v>2</v>
      </c>
      <c r="AL27" s="40">
        <f t="shared" si="12"/>
        <v>2</v>
      </c>
      <c r="AM27" s="40">
        <f t="shared" si="12"/>
        <v>2</v>
      </c>
      <c r="AN27" s="40">
        <f t="shared" si="12"/>
        <v>2</v>
      </c>
      <c r="AO27" s="40">
        <f t="shared" si="12"/>
        <v>2</v>
      </c>
      <c r="AP27" s="40">
        <f t="shared" si="12"/>
        <v>2</v>
      </c>
      <c r="AQ27" s="40">
        <f t="shared" si="12"/>
        <v>2</v>
      </c>
      <c r="AR27" s="40">
        <f t="shared" si="12"/>
        <v>2</v>
      </c>
      <c r="AS27" s="40">
        <f t="shared" si="12"/>
        <v>2</v>
      </c>
      <c r="AT27" s="40">
        <f t="shared" si="12"/>
        <v>2</v>
      </c>
    </row>
    <row r="28" spans="1:46" ht="14.25" x14ac:dyDescent="0.25">
      <c r="C28" s="2" t="s">
        <v>48</v>
      </c>
      <c r="H28" s="68" t="s">
        <v>60</v>
      </c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</row>
    <row r="29" spans="1:46" x14ac:dyDescent="0.2">
      <c r="C29" s="2" t="s">
        <v>61</v>
      </c>
      <c r="H29" s="41">
        <v>0.05</v>
      </c>
      <c r="I29" s="41">
        <f>H29</f>
        <v>0.05</v>
      </c>
      <c r="J29" s="41">
        <f t="shared" ref="J29:AT29" si="13">I29</f>
        <v>0.05</v>
      </c>
      <c r="K29" s="41">
        <f t="shared" si="13"/>
        <v>0.05</v>
      </c>
      <c r="L29" s="41">
        <f t="shared" si="13"/>
        <v>0.05</v>
      </c>
      <c r="M29" s="41">
        <f t="shared" si="13"/>
        <v>0.05</v>
      </c>
      <c r="N29" s="41">
        <f t="shared" si="13"/>
        <v>0.05</v>
      </c>
      <c r="O29" s="41">
        <f t="shared" si="13"/>
        <v>0.05</v>
      </c>
      <c r="P29" s="41">
        <f t="shared" si="13"/>
        <v>0.05</v>
      </c>
      <c r="Q29" s="41">
        <f t="shared" si="13"/>
        <v>0.05</v>
      </c>
      <c r="R29" s="41">
        <f t="shared" si="13"/>
        <v>0.05</v>
      </c>
      <c r="S29" s="41">
        <f t="shared" si="13"/>
        <v>0.05</v>
      </c>
      <c r="T29" s="41">
        <f t="shared" si="13"/>
        <v>0.05</v>
      </c>
      <c r="U29" s="41">
        <f t="shared" si="13"/>
        <v>0.05</v>
      </c>
      <c r="V29" s="41">
        <f t="shared" si="13"/>
        <v>0.05</v>
      </c>
      <c r="W29" s="41">
        <f t="shared" si="13"/>
        <v>0.05</v>
      </c>
      <c r="X29" s="41">
        <f t="shared" si="13"/>
        <v>0.05</v>
      </c>
      <c r="Y29" s="41">
        <f t="shared" si="13"/>
        <v>0.05</v>
      </c>
      <c r="Z29" s="41">
        <f t="shared" si="13"/>
        <v>0.05</v>
      </c>
      <c r="AA29" s="41">
        <f t="shared" si="13"/>
        <v>0.05</v>
      </c>
      <c r="AB29" s="41">
        <f t="shared" si="13"/>
        <v>0.05</v>
      </c>
      <c r="AC29" s="41">
        <f t="shared" si="13"/>
        <v>0.05</v>
      </c>
      <c r="AD29" s="41">
        <f t="shared" si="13"/>
        <v>0.05</v>
      </c>
      <c r="AE29" s="41">
        <f t="shared" si="13"/>
        <v>0.05</v>
      </c>
      <c r="AF29" s="41">
        <f t="shared" si="13"/>
        <v>0.05</v>
      </c>
      <c r="AG29" s="41">
        <f t="shared" si="13"/>
        <v>0.05</v>
      </c>
      <c r="AH29" s="41">
        <f t="shared" si="13"/>
        <v>0.05</v>
      </c>
      <c r="AI29" s="41">
        <f t="shared" si="13"/>
        <v>0.05</v>
      </c>
      <c r="AJ29" s="41">
        <f t="shared" si="13"/>
        <v>0.05</v>
      </c>
      <c r="AK29" s="41">
        <f t="shared" si="13"/>
        <v>0.05</v>
      </c>
      <c r="AL29" s="41">
        <f t="shared" si="13"/>
        <v>0.05</v>
      </c>
      <c r="AM29" s="41">
        <f t="shared" si="13"/>
        <v>0.05</v>
      </c>
      <c r="AN29" s="41">
        <f t="shared" si="13"/>
        <v>0.05</v>
      </c>
      <c r="AO29" s="41">
        <f t="shared" si="13"/>
        <v>0.05</v>
      </c>
      <c r="AP29" s="41">
        <f t="shared" si="13"/>
        <v>0.05</v>
      </c>
      <c r="AQ29" s="41">
        <f t="shared" si="13"/>
        <v>0.05</v>
      </c>
      <c r="AR29" s="41">
        <f t="shared" si="13"/>
        <v>0.05</v>
      </c>
      <c r="AS29" s="41">
        <f t="shared" si="13"/>
        <v>0.05</v>
      </c>
      <c r="AT29" s="41">
        <f t="shared" si="13"/>
        <v>0.05</v>
      </c>
    </row>
  </sheetData>
  <dataValidations count="1">
    <dataValidation type="list" allowBlank="1" showInputMessage="1" showErrorMessage="1" sqref="B26:B27" xr:uid="{F2E38B86-90A7-4B23-96BE-7E3182F4E8AF}">
      <formula1>"y, n"</formula1>
    </dataValidation>
  </dataValidations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56F8D-5E0A-425D-8B2C-9FFED6B80E37}">
  <sheetPr codeName="Sheet6"/>
  <dimension ref="A1:E124"/>
  <sheetViews>
    <sheetView zoomScaleNormal="100" workbookViewId="0">
      <pane ySplit="4" topLeftCell="A73" activePane="bottomLeft" state="frozen"/>
      <selection pane="bottomLeft" activeCell="I41" sqref="I41"/>
    </sheetView>
  </sheetViews>
  <sheetFormatPr defaultRowHeight="15" x14ac:dyDescent="0.25"/>
  <cols>
    <col min="1" max="1" width="11.140625" customWidth="1"/>
    <col min="2" max="2" width="17" customWidth="1"/>
    <col min="3" max="3" width="12.140625" bestFit="1" customWidth="1"/>
  </cols>
  <sheetData>
    <row r="1" spans="1:5" ht="20.25" x14ac:dyDescent="0.25">
      <c r="A1" s="53"/>
      <c r="B1" s="53"/>
      <c r="C1" s="53"/>
      <c r="E1" t="s">
        <v>34</v>
      </c>
    </row>
    <row r="2" spans="1:5" x14ac:dyDescent="0.25">
      <c r="A2" s="54" t="s">
        <v>35</v>
      </c>
      <c r="E2" t="s">
        <v>36</v>
      </c>
    </row>
    <row r="3" spans="1:5" ht="15" customHeight="1" x14ac:dyDescent="0.25">
      <c r="A3" s="55" t="s">
        <v>37</v>
      </c>
      <c r="B3" s="55" t="s">
        <v>38</v>
      </c>
      <c r="C3" s="55" t="s">
        <v>39</v>
      </c>
    </row>
    <row r="4" spans="1:5" ht="30" x14ac:dyDescent="0.25">
      <c r="A4" s="55" t="s">
        <v>40</v>
      </c>
      <c r="B4" s="56" t="s">
        <v>41</v>
      </c>
      <c r="C4" s="56" t="s">
        <v>41</v>
      </c>
    </row>
    <row r="5" spans="1:5" x14ac:dyDescent="0.25">
      <c r="A5" s="57">
        <v>0</v>
      </c>
      <c r="B5" s="58">
        <v>6.5189999999999996E-3</v>
      </c>
      <c r="C5" s="58">
        <v>5.3769999999999998E-3</v>
      </c>
    </row>
    <row r="6" spans="1:5" x14ac:dyDescent="0.25">
      <c r="A6" s="57">
        <v>1</v>
      </c>
      <c r="B6" s="58">
        <v>4.6200000000000001E-4</v>
      </c>
      <c r="C6" s="58">
        <v>3.79E-4</v>
      </c>
    </row>
    <row r="7" spans="1:5" x14ac:dyDescent="0.25">
      <c r="A7" s="57">
        <v>2</v>
      </c>
      <c r="B7" s="58">
        <v>2.9100000000000003E-4</v>
      </c>
      <c r="C7" s="58">
        <v>2.2100000000000001E-4</v>
      </c>
    </row>
    <row r="8" spans="1:5" x14ac:dyDescent="0.25">
      <c r="A8" s="57">
        <v>3</v>
      </c>
      <c r="B8" s="58">
        <v>2.0900000000000001E-4</v>
      </c>
      <c r="C8" s="58">
        <v>1.6200000000000001E-4</v>
      </c>
    </row>
    <row r="9" spans="1:5" x14ac:dyDescent="0.25">
      <c r="A9" s="57">
        <v>4</v>
      </c>
      <c r="B9" s="58">
        <v>1.76E-4</v>
      </c>
      <c r="C9" s="58">
        <v>1.3300000000000001E-4</v>
      </c>
    </row>
    <row r="10" spans="1:5" x14ac:dyDescent="0.25">
      <c r="A10" s="59">
        <v>5</v>
      </c>
      <c r="B10" s="60">
        <v>1.5899999999999999E-4</v>
      </c>
      <c r="C10" s="60">
        <v>1.1900000000000001E-4</v>
      </c>
    </row>
    <row r="11" spans="1:5" x14ac:dyDescent="0.25">
      <c r="A11" s="59">
        <v>6</v>
      </c>
      <c r="B11" s="60">
        <v>1.46E-4</v>
      </c>
      <c r="C11" s="60">
        <v>1.0900000000000001E-4</v>
      </c>
    </row>
    <row r="12" spans="1:5" x14ac:dyDescent="0.25">
      <c r="A12" s="59">
        <v>7</v>
      </c>
      <c r="B12" s="60">
        <v>1.3300000000000001E-4</v>
      </c>
      <c r="C12" s="60">
        <v>1.01E-4</v>
      </c>
    </row>
    <row r="13" spans="1:5" x14ac:dyDescent="0.25">
      <c r="A13" s="59">
        <v>8</v>
      </c>
      <c r="B13" s="60">
        <v>1.18E-4</v>
      </c>
      <c r="C13" s="60">
        <v>9.6000000000000002E-5</v>
      </c>
    </row>
    <row r="14" spans="1:5" x14ac:dyDescent="0.25">
      <c r="A14" s="59">
        <v>9</v>
      </c>
      <c r="B14" s="60">
        <v>1.02E-4</v>
      </c>
      <c r="C14" s="60">
        <v>9.2999999999999997E-5</v>
      </c>
    </row>
    <row r="15" spans="1:5" x14ac:dyDescent="0.25">
      <c r="A15" s="57">
        <v>10</v>
      </c>
      <c r="B15" s="58">
        <v>9.1000000000000003E-5</v>
      </c>
      <c r="C15" s="58">
        <v>9.3999999999999994E-5</v>
      </c>
    </row>
    <row r="16" spans="1:5" x14ac:dyDescent="0.25">
      <c r="A16" s="57">
        <v>11</v>
      </c>
      <c r="B16" s="58">
        <v>9.6000000000000002E-5</v>
      </c>
      <c r="C16" s="58">
        <v>1E-4</v>
      </c>
    </row>
    <row r="17" spans="1:3" x14ac:dyDescent="0.25">
      <c r="A17" s="57">
        <v>12</v>
      </c>
      <c r="B17" s="58">
        <v>1.2799999999999999E-4</v>
      </c>
      <c r="C17" s="58">
        <v>1.12E-4</v>
      </c>
    </row>
    <row r="18" spans="1:3" x14ac:dyDescent="0.25">
      <c r="A18" s="57">
        <v>13</v>
      </c>
      <c r="B18" s="58">
        <v>1.95E-4</v>
      </c>
      <c r="C18" s="58">
        <v>1.34E-4</v>
      </c>
    </row>
    <row r="19" spans="1:3" x14ac:dyDescent="0.25">
      <c r="A19" s="57">
        <v>14</v>
      </c>
      <c r="B19" s="58">
        <v>2.8800000000000001E-4</v>
      </c>
      <c r="C19" s="58">
        <v>1.6200000000000001E-4</v>
      </c>
    </row>
    <row r="20" spans="1:3" x14ac:dyDescent="0.25">
      <c r="A20" s="59">
        <v>15</v>
      </c>
      <c r="B20" s="60">
        <v>3.8900000000000002E-4</v>
      </c>
      <c r="C20" s="60">
        <v>1.94E-4</v>
      </c>
    </row>
    <row r="21" spans="1:3" x14ac:dyDescent="0.25">
      <c r="A21" s="59">
        <v>16</v>
      </c>
      <c r="B21" s="60">
        <v>4.9200000000000003E-4</v>
      </c>
      <c r="C21" s="60">
        <v>2.2599999999999999E-4</v>
      </c>
    </row>
    <row r="22" spans="1:3" x14ac:dyDescent="0.25">
      <c r="A22" s="59">
        <v>17</v>
      </c>
      <c r="B22" s="60">
        <v>6.0700000000000001E-4</v>
      </c>
      <c r="C22" s="60">
        <v>2.61E-4</v>
      </c>
    </row>
    <row r="23" spans="1:3" x14ac:dyDescent="0.25">
      <c r="A23" s="59">
        <v>18</v>
      </c>
      <c r="B23" s="60">
        <v>7.3499999999999998E-4</v>
      </c>
      <c r="C23" s="60">
        <v>2.9700000000000001E-4</v>
      </c>
    </row>
    <row r="24" spans="1:3" x14ac:dyDescent="0.25">
      <c r="A24" s="59">
        <v>19</v>
      </c>
      <c r="B24" s="60">
        <v>8.6899999999999998E-4</v>
      </c>
      <c r="C24" s="60">
        <v>3.3399999999999999E-4</v>
      </c>
    </row>
    <row r="25" spans="1:3" x14ac:dyDescent="0.25">
      <c r="A25" s="57">
        <v>20</v>
      </c>
      <c r="B25" s="58">
        <v>1.011E-3</v>
      </c>
      <c r="C25" s="58">
        <v>3.7300000000000001E-4</v>
      </c>
    </row>
    <row r="26" spans="1:3" x14ac:dyDescent="0.25">
      <c r="A26" s="57">
        <v>21</v>
      </c>
      <c r="B26" s="58">
        <v>1.145E-3</v>
      </c>
      <c r="C26" s="58">
        <v>4.1199999999999999E-4</v>
      </c>
    </row>
    <row r="27" spans="1:3" x14ac:dyDescent="0.25">
      <c r="A27" s="57">
        <v>22</v>
      </c>
      <c r="B27" s="58">
        <v>1.2459999999999999E-3</v>
      </c>
      <c r="C27" s="58">
        <v>4.46E-4</v>
      </c>
    </row>
    <row r="28" spans="1:3" x14ac:dyDescent="0.25">
      <c r="A28" s="57">
        <v>23</v>
      </c>
      <c r="B28" s="58">
        <v>1.3010000000000001E-3</v>
      </c>
      <c r="C28" s="58">
        <v>4.7199999999999998E-4</v>
      </c>
    </row>
    <row r="29" spans="1:3" x14ac:dyDescent="0.25">
      <c r="A29" s="57">
        <v>24</v>
      </c>
      <c r="B29" s="58">
        <v>1.3209999999999999E-3</v>
      </c>
      <c r="C29" s="58">
        <v>4.9299999999999995E-4</v>
      </c>
    </row>
    <row r="30" spans="1:3" x14ac:dyDescent="0.25">
      <c r="A30" s="59">
        <v>25</v>
      </c>
      <c r="B30" s="60">
        <v>1.33E-3</v>
      </c>
      <c r="C30" s="60">
        <v>5.13E-4</v>
      </c>
    </row>
    <row r="31" spans="1:3" x14ac:dyDescent="0.25">
      <c r="A31" s="59">
        <v>26</v>
      </c>
      <c r="B31" s="60">
        <v>1.3450000000000001E-3</v>
      </c>
      <c r="C31" s="60">
        <v>5.3700000000000004E-4</v>
      </c>
    </row>
    <row r="32" spans="1:3" x14ac:dyDescent="0.25">
      <c r="A32" s="59">
        <v>27</v>
      </c>
      <c r="B32" s="60">
        <v>1.3630000000000001E-3</v>
      </c>
      <c r="C32" s="60">
        <v>5.6300000000000002E-4</v>
      </c>
    </row>
    <row r="33" spans="1:3" x14ac:dyDescent="0.25">
      <c r="A33" s="59">
        <v>28</v>
      </c>
      <c r="B33" s="60">
        <v>1.3910000000000001E-3</v>
      </c>
      <c r="C33" s="60">
        <v>5.9299999999999999E-4</v>
      </c>
    </row>
    <row r="34" spans="1:3" x14ac:dyDescent="0.25">
      <c r="A34" s="59">
        <v>29</v>
      </c>
      <c r="B34" s="60">
        <v>1.4270000000000001E-3</v>
      </c>
      <c r="C34" s="60">
        <v>6.2699999999999995E-4</v>
      </c>
    </row>
    <row r="35" spans="1:3" x14ac:dyDescent="0.25">
      <c r="A35" s="57">
        <v>30</v>
      </c>
      <c r="B35" s="58">
        <v>1.467E-3</v>
      </c>
      <c r="C35" s="58">
        <v>6.6399999999999999E-4</v>
      </c>
    </row>
    <row r="36" spans="1:3" x14ac:dyDescent="0.25">
      <c r="A36" s="57">
        <v>31</v>
      </c>
      <c r="B36" s="58">
        <v>1.505E-3</v>
      </c>
      <c r="C36" s="58">
        <v>7.0500000000000001E-4</v>
      </c>
    </row>
    <row r="37" spans="1:3" x14ac:dyDescent="0.25">
      <c r="A37" s="57">
        <v>32</v>
      </c>
      <c r="B37" s="58">
        <v>1.5410000000000001E-3</v>
      </c>
      <c r="C37" s="58">
        <v>7.4799999999999997E-4</v>
      </c>
    </row>
    <row r="38" spans="1:3" x14ac:dyDescent="0.25">
      <c r="A38" s="57">
        <v>33</v>
      </c>
      <c r="B38" s="58">
        <v>1.573E-3</v>
      </c>
      <c r="C38" s="58">
        <v>7.94E-4</v>
      </c>
    </row>
    <row r="39" spans="1:3" x14ac:dyDescent="0.25">
      <c r="A39" s="57">
        <v>34</v>
      </c>
      <c r="B39" s="58">
        <v>1.606E-3</v>
      </c>
      <c r="C39" s="58">
        <v>8.4500000000000005E-4</v>
      </c>
    </row>
    <row r="40" spans="1:3" x14ac:dyDescent="0.25">
      <c r="A40" s="59">
        <v>35</v>
      </c>
      <c r="B40" s="60">
        <v>1.6479999999999999E-3</v>
      </c>
      <c r="C40" s="60">
        <v>9.0300000000000005E-4</v>
      </c>
    </row>
    <row r="41" spans="1:3" x14ac:dyDescent="0.25">
      <c r="A41" s="59">
        <v>36</v>
      </c>
      <c r="B41" s="60">
        <v>1.704E-3</v>
      </c>
      <c r="C41" s="60">
        <v>9.68E-4</v>
      </c>
    </row>
    <row r="42" spans="1:3" x14ac:dyDescent="0.25">
      <c r="A42" s="59">
        <v>37</v>
      </c>
      <c r="B42" s="60">
        <v>1.774E-3</v>
      </c>
      <c r="C42" s="60">
        <v>1.0380000000000001E-3</v>
      </c>
    </row>
    <row r="43" spans="1:3" x14ac:dyDescent="0.25">
      <c r="A43" s="59">
        <v>38</v>
      </c>
      <c r="B43" s="60">
        <v>1.861E-3</v>
      </c>
      <c r="C43" s="60">
        <v>1.1130000000000001E-3</v>
      </c>
    </row>
    <row r="44" spans="1:3" x14ac:dyDescent="0.25">
      <c r="A44" s="59">
        <v>39</v>
      </c>
      <c r="B44" s="60">
        <v>1.967E-3</v>
      </c>
      <c r="C44" s="60">
        <v>1.196E-3</v>
      </c>
    </row>
    <row r="45" spans="1:3" x14ac:dyDescent="0.25">
      <c r="A45" s="57">
        <v>40</v>
      </c>
      <c r="B45" s="58">
        <v>2.0920000000000001E-3</v>
      </c>
      <c r="C45" s="58">
        <v>1.2869999999999999E-3</v>
      </c>
    </row>
    <row r="46" spans="1:3" x14ac:dyDescent="0.25">
      <c r="A46" s="57">
        <v>41</v>
      </c>
      <c r="B46" s="58">
        <v>2.2399999999999998E-3</v>
      </c>
      <c r="C46" s="58">
        <v>1.3929999999999999E-3</v>
      </c>
    </row>
    <row r="47" spans="1:3" x14ac:dyDescent="0.25">
      <c r="A47" s="57">
        <v>42</v>
      </c>
      <c r="B47" s="58">
        <v>2.418E-3</v>
      </c>
      <c r="C47" s="58">
        <v>1.5169999999999999E-3</v>
      </c>
    </row>
    <row r="48" spans="1:3" x14ac:dyDescent="0.25">
      <c r="A48" s="57">
        <v>43</v>
      </c>
      <c r="B48" s="58">
        <v>2.6289999999999998E-3</v>
      </c>
      <c r="C48" s="58">
        <v>1.6620000000000001E-3</v>
      </c>
    </row>
    <row r="49" spans="1:3" x14ac:dyDescent="0.25">
      <c r="A49" s="57">
        <v>44</v>
      </c>
      <c r="B49" s="58">
        <v>2.8730000000000001E-3</v>
      </c>
      <c r="C49" s="58">
        <v>1.8270000000000001E-3</v>
      </c>
    </row>
    <row r="50" spans="1:3" x14ac:dyDescent="0.25">
      <c r="A50" s="59">
        <v>45</v>
      </c>
      <c r="B50" s="60">
        <v>3.1459999999999999E-3</v>
      </c>
      <c r="C50" s="60">
        <v>2.0049999999999998E-3</v>
      </c>
    </row>
    <row r="51" spans="1:3" x14ac:dyDescent="0.25">
      <c r="A51" s="59">
        <v>46</v>
      </c>
      <c r="B51" s="60">
        <v>3.447E-3</v>
      </c>
      <c r="C51" s="60">
        <v>2.1979999999999999E-3</v>
      </c>
    </row>
    <row r="52" spans="1:3" x14ac:dyDescent="0.25">
      <c r="A52" s="59">
        <v>47</v>
      </c>
      <c r="B52" s="60">
        <v>3.787E-3</v>
      </c>
      <c r="C52" s="60">
        <v>2.4120000000000001E-3</v>
      </c>
    </row>
    <row r="53" spans="1:3" x14ac:dyDescent="0.25">
      <c r="A53" s="59">
        <v>48</v>
      </c>
      <c r="B53" s="60">
        <v>4.1669999999999997E-3</v>
      </c>
      <c r="C53" s="60">
        <v>2.6480000000000002E-3</v>
      </c>
    </row>
    <row r="54" spans="1:3" x14ac:dyDescent="0.25">
      <c r="A54" s="59">
        <v>49</v>
      </c>
      <c r="B54" s="60">
        <v>4.5859999999999998E-3</v>
      </c>
      <c r="C54" s="60">
        <v>2.9039999999999999E-3</v>
      </c>
    </row>
    <row r="55" spans="1:3" x14ac:dyDescent="0.25">
      <c r="A55" s="57">
        <v>50</v>
      </c>
      <c r="B55" s="58">
        <v>5.0379999999999999E-3</v>
      </c>
      <c r="C55" s="58">
        <v>3.1819999999999999E-3</v>
      </c>
    </row>
    <row r="56" spans="1:3" x14ac:dyDescent="0.25">
      <c r="A56" s="57">
        <v>51</v>
      </c>
      <c r="B56" s="58">
        <v>5.5199999999999997E-3</v>
      </c>
      <c r="C56" s="58">
        <v>3.473E-3</v>
      </c>
    </row>
    <row r="57" spans="1:3" x14ac:dyDescent="0.25">
      <c r="A57" s="57">
        <v>52</v>
      </c>
      <c r="B57" s="58">
        <v>6.0359999999999997E-3</v>
      </c>
      <c r="C57" s="58">
        <v>3.7669999999999999E-3</v>
      </c>
    </row>
    <row r="58" spans="1:3" x14ac:dyDescent="0.25">
      <c r="A58" s="57">
        <v>53</v>
      </c>
      <c r="B58" s="58">
        <v>6.587E-3</v>
      </c>
      <c r="C58" s="58">
        <v>4.058E-3</v>
      </c>
    </row>
    <row r="59" spans="1:3" x14ac:dyDescent="0.25">
      <c r="A59" s="57">
        <v>54</v>
      </c>
      <c r="B59" s="58">
        <v>7.1700000000000002E-3</v>
      </c>
      <c r="C59" s="58">
        <v>4.352E-3</v>
      </c>
    </row>
    <row r="60" spans="1:3" x14ac:dyDescent="0.25">
      <c r="A60" s="59">
        <v>55</v>
      </c>
      <c r="B60" s="60">
        <v>7.8009999999999998E-3</v>
      </c>
      <c r="C60" s="60">
        <v>4.6810000000000003E-3</v>
      </c>
    </row>
    <row r="61" spans="1:3" x14ac:dyDescent="0.25">
      <c r="A61" s="59">
        <v>56</v>
      </c>
      <c r="B61" s="60">
        <v>8.4659999999999996E-3</v>
      </c>
      <c r="C61" s="60">
        <v>5.0400000000000002E-3</v>
      </c>
    </row>
    <row r="62" spans="1:3" x14ac:dyDescent="0.25">
      <c r="A62" s="59">
        <v>57</v>
      </c>
      <c r="B62" s="60">
        <v>9.1330000000000005E-3</v>
      </c>
      <c r="C62" s="60">
        <v>5.4000000000000003E-3</v>
      </c>
    </row>
    <row r="63" spans="1:3" x14ac:dyDescent="0.25">
      <c r="A63" s="59">
        <v>58</v>
      </c>
      <c r="B63" s="60">
        <v>9.7920000000000004E-3</v>
      </c>
      <c r="C63" s="60">
        <v>5.7559999999999998E-3</v>
      </c>
    </row>
    <row r="64" spans="1:3" x14ac:dyDescent="0.25">
      <c r="A64" s="59">
        <v>59</v>
      </c>
      <c r="B64" s="60">
        <v>1.0462000000000001E-2</v>
      </c>
      <c r="C64" s="60">
        <v>6.1279999999999998E-3</v>
      </c>
    </row>
    <row r="65" spans="1:3" x14ac:dyDescent="0.25">
      <c r="A65" s="57">
        <v>60</v>
      </c>
      <c r="B65" s="58">
        <v>1.1197E-2</v>
      </c>
      <c r="C65" s="58">
        <v>6.5449999999999996E-3</v>
      </c>
    </row>
    <row r="66" spans="1:3" x14ac:dyDescent="0.25">
      <c r="A66" s="57">
        <v>61</v>
      </c>
      <c r="B66" s="58">
        <v>1.2009000000000001E-2</v>
      </c>
      <c r="C66" s="58">
        <v>7.0340000000000003E-3</v>
      </c>
    </row>
    <row r="67" spans="1:3" x14ac:dyDescent="0.25">
      <c r="A67" s="57">
        <v>62</v>
      </c>
      <c r="B67" s="58">
        <v>1.2867E-2</v>
      </c>
      <c r="C67" s="58">
        <v>7.607E-3</v>
      </c>
    </row>
    <row r="68" spans="1:3" x14ac:dyDescent="0.25">
      <c r="A68" s="57">
        <v>63</v>
      </c>
      <c r="B68" s="58">
        <v>1.3772E-2</v>
      </c>
      <c r="C68" s="58">
        <v>8.2810000000000002E-3</v>
      </c>
    </row>
    <row r="69" spans="1:3" x14ac:dyDescent="0.25">
      <c r="A69" s="57">
        <v>64</v>
      </c>
      <c r="B69" s="58">
        <v>1.4749E-2</v>
      </c>
      <c r="C69" s="58">
        <v>9.0570000000000008E-3</v>
      </c>
    </row>
    <row r="70" spans="1:3" x14ac:dyDescent="0.25">
      <c r="A70" s="59">
        <v>65</v>
      </c>
      <c r="B70" s="60">
        <v>1.5852000000000002E-2</v>
      </c>
      <c r="C70" s="60">
        <v>9.953E-3</v>
      </c>
    </row>
    <row r="71" spans="1:3" x14ac:dyDescent="0.25">
      <c r="A71" s="59">
        <v>66</v>
      </c>
      <c r="B71" s="60">
        <v>1.7097000000000001E-2</v>
      </c>
      <c r="C71" s="60">
        <v>1.095E-2</v>
      </c>
    </row>
    <row r="72" spans="1:3" x14ac:dyDescent="0.25">
      <c r="A72" s="59">
        <v>67</v>
      </c>
      <c r="B72" s="60">
        <v>1.8463E-2</v>
      </c>
      <c r="C72" s="60">
        <v>1.201E-2</v>
      </c>
    </row>
    <row r="73" spans="1:3" x14ac:dyDescent="0.25">
      <c r="A73" s="59">
        <v>68</v>
      </c>
      <c r="B73" s="60">
        <v>1.9959000000000001E-2</v>
      </c>
      <c r="C73" s="60">
        <v>1.3124E-2</v>
      </c>
    </row>
    <row r="74" spans="1:3" x14ac:dyDescent="0.25">
      <c r="A74" s="59">
        <v>69</v>
      </c>
      <c r="B74" s="60">
        <v>2.1616E-2</v>
      </c>
      <c r="C74" s="60">
        <v>1.4330000000000001E-2</v>
      </c>
    </row>
    <row r="75" spans="1:3" x14ac:dyDescent="0.25">
      <c r="A75" s="57">
        <v>70</v>
      </c>
      <c r="B75" s="58">
        <v>2.3528E-2</v>
      </c>
      <c r="C75" s="58">
        <v>1.5727999999999999E-2</v>
      </c>
    </row>
    <row r="76" spans="1:3" x14ac:dyDescent="0.25">
      <c r="A76" s="57">
        <v>71</v>
      </c>
      <c r="B76" s="58">
        <v>2.5693000000000001E-2</v>
      </c>
      <c r="C76" s="58">
        <v>1.7337999999999999E-2</v>
      </c>
    </row>
    <row r="77" spans="1:3" x14ac:dyDescent="0.25">
      <c r="A77" s="57">
        <v>72</v>
      </c>
      <c r="B77" s="58">
        <v>2.8041E-2</v>
      </c>
      <c r="C77" s="58">
        <v>1.9108E-2</v>
      </c>
    </row>
    <row r="78" spans="1:3" x14ac:dyDescent="0.25">
      <c r="A78" s="57">
        <v>73</v>
      </c>
      <c r="B78" s="58">
        <v>3.0567E-2</v>
      </c>
      <c r="C78" s="58">
        <v>2.1041000000000001E-2</v>
      </c>
    </row>
    <row r="79" spans="1:3" x14ac:dyDescent="0.25">
      <c r="A79" s="57">
        <v>74</v>
      </c>
      <c r="B79" s="58">
        <v>3.3347000000000002E-2</v>
      </c>
      <c r="C79" s="58">
        <v>2.3191E-2</v>
      </c>
    </row>
    <row r="80" spans="1:3" x14ac:dyDescent="0.25">
      <c r="A80" s="59">
        <v>75</v>
      </c>
      <c r="B80" s="60">
        <v>3.6572E-2</v>
      </c>
      <c r="C80" s="60">
        <v>2.5713E-2</v>
      </c>
    </row>
    <row r="81" spans="1:3" x14ac:dyDescent="0.25">
      <c r="A81" s="59">
        <v>76</v>
      </c>
      <c r="B81" s="60">
        <v>4.0275999999999999E-2</v>
      </c>
      <c r="C81" s="60">
        <v>2.8608999999999999E-2</v>
      </c>
    </row>
    <row r="82" spans="1:3" x14ac:dyDescent="0.25">
      <c r="A82" s="59">
        <v>77</v>
      </c>
      <c r="B82" s="60">
        <v>4.4347999999999999E-2</v>
      </c>
      <c r="C82" s="60">
        <v>3.1759999999999997E-2</v>
      </c>
    </row>
    <row r="83" spans="1:3" x14ac:dyDescent="0.25">
      <c r="A83" s="59">
        <v>78</v>
      </c>
      <c r="B83" s="60">
        <v>4.8797E-2</v>
      </c>
      <c r="C83" s="60">
        <v>3.5157000000000001E-2</v>
      </c>
    </row>
    <row r="84" spans="1:3" x14ac:dyDescent="0.25">
      <c r="A84" s="59">
        <v>79</v>
      </c>
      <c r="B84" s="60">
        <v>5.3739000000000002E-2</v>
      </c>
      <c r="C84" s="60">
        <v>3.8920000000000003E-2</v>
      </c>
    </row>
    <row r="85" spans="1:3" x14ac:dyDescent="0.25">
      <c r="A85" s="57">
        <v>80</v>
      </c>
      <c r="B85" s="58">
        <v>5.9402999999999997E-2</v>
      </c>
      <c r="C85" s="58">
        <v>4.3289000000000001E-2</v>
      </c>
    </row>
    <row r="86" spans="1:3" x14ac:dyDescent="0.25">
      <c r="A86" s="57">
        <v>81</v>
      </c>
      <c r="B86" s="58">
        <v>6.5873000000000001E-2</v>
      </c>
      <c r="C86" s="58">
        <v>4.8356000000000003E-2</v>
      </c>
    </row>
    <row r="87" spans="1:3" x14ac:dyDescent="0.25">
      <c r="A87" s="57">
        <v>82</v>
      </c>
      <c r="B87" s="58">
        <v>7.3081999999999994E-2</v>
      </c>
      <c r="C87" s="58">
        <v>5.4040999999999999E-2</v>
      </c>
    </row>
    <row r="88" spans="1:3" x14ac:dyDescent="0.25">
      <c r="A88" s="57">
        <v>83</v>
      </c>
      <c r="B88" s="58">
        <v>8.1070000000000003E-2</v>
      </c>
      <c r="C88" s="58">
        <v>6.0384E-2</v>
      </c>
    </row>
    <row r="89" spans="1:3" x14ac:dyDescent="0.25">
      <c r="A89" s="57">
        <v>84</v>
      </c>
      <c r="B89" s="58">
        <v>8.9946999999999999E-2</v>
      </c>
      <c r="C89" s="58">
        <v>6.7498000000000002E-2</v>
      </c>
    </row>
    <row r="90" spans="1:3" x14ac:dyDescent="0.25">
      <c r="A90" s="59">
        <v>85</v>
      </c>
      <c r="B90" s="60">
        <v>9.9842E-2</v>
      </c>
      <c r="C90" s="60">
        <v>7.5516E-2</v>
      </c>
    </row>
    <row r="91" spans="1:3" x14ac:dyDescent="0.25">
      <c r="A91" s="59">
        <v>86</v>
      </c>
      <c r="B91" s="60">
        <v>0.110863</v>
      </c>
      <c r="C91" s="60">
        <v>8.4556000000000006E-2</v>
      </c>
    </row>
    <row r="92" spans="1:3" x14ac:dyDescent="0.25">
      <c r="A92" s="59">
        <v>87</v>
      </c>
      <c r="B92" s="60">
        <v>0.123088</v>
      </c>
      <c r="C92" s="60">
        <v>9.4702999999999996E-2</v>
      </c>
    </row>
    <row r="93" spans="1:3" x14ac:dyDescent="0.25">
      <c r="A93" s="59">
        <v>88</v>
      </c>
      <c r="B93" s="60">
        <v>0.13656299999999999</v>
      </c>
      <c r="C93" s="60">
        <v>0.106014</v>
      </c>
    </row>
    <row r="94" spans="1:3" x14ac:dyDescent="0.25">
      <c r="A94" s="59">
        <v>89</v>
      </c>
      <c r="B94" s="60">
        <v>0.15129899999999999</v>
      </c>
      <c r="C94" s="60">
        <v>0.11851299999999999</v>
      </c>
    </row>
    <row r="95" spans="1:3" x14ac:dyDescent="0.25">
      <c r="A95" s="57">
        <v>90</v>
      </c>
      <c r="B95" s="58">
        <v>0.167291</v>
      </c>
      <c r="C95" s="58">
        <v>0.13220599999999999</v>
      </c>
    </row>
    <row r="96" spans="1:3" x14ac:dyDescent="0.25">
      <c r="A96" s="57">
        <v>91</v>
      </c>
      <c r="B96" s="58">
        <v>0.18451999999999999</v>
      </c>
      <c r="C96" s="58">
        <v>0.147092</v>
      </c>
    </row>
    <row r="97" spans="1:3" x14ac:dyDescent="0.25">
      <c r="A97" s="57">
        <v>92</v>
      </c>
      <c r="B97" s="58">
        <v>0.202954</v>
      </c>
      <c r="C97" s="58">
        <v>0.16315399999999999</v>
      </c>
    </row>
    <row r="98" spans="1:3" x14ac:dyDescent="0.25">
      <c r="A98" s="57">
        <v>93</v>
      </c>
      <c r="B98" s="58">
        <v>0.222555</v>
      </c>
      <c r="C98" s="58">
        <v>0.180371</v>
      </c>
    </row>
    <row r="99" spans="1:3" x14ac:dyDescent="0.25">
      <c r="A99" s="57">
        <v>94</v>
      </c>
      <c r="B99" s="58">
        <v>0.24327199999999999</v>
      </c>
      <c r="C99" s="58">
        <v>0.198714</v>
      </c>
    </row>
    <row r="100" spans="1:3" x14ac:dyDescent="0.25">
      <c r="A100" s="59">
        <v>95</v>
      </c>
      <c r="B100" s="60">
        <v>0.26382100000000003</v>
      </c>
      <c r="C100" s="60">
        <v>0.21726400000000001</v>
      </c>
    </row>
    <row r="101" spans="1:3" x14ac:dyDescent="0.25">
      <c r="A101" s="59">
        <v>96</v>
      </c>
      <c r="B101" s="60">
        <v>0.283833</v>
      </c>
      <c r="C101" s="60">
        <v>0.235735</v>
      </c>
    </row>
    <row r="102" spans="1:3" x14ac:dyDescent="0.25">
      <c r="A102" s="59">
        <v>97</v>
      </c>
      <c r="B102" s="60">
        <v>0.30291600000000002</v>
      </c>
      <c r="C102" s="60">
        <v>0.25380999999999998</v>
      </c>
    </row>
    <row r="103" spans="1:3" x14ac:dyDescent="0.25">
      <c r="A103" s="59">
        <v>98</v>
      </c>
      <c r="B103" s="60">
        <v>0.32067200000000001</v>
      </c>
      <c r="C103" s="60">
        <v>0.27115499999999998</v>
      </c>
    </row>
    <row r="104" spans="1:3" x14ac:dyDescent="0.25">
      <c r="A104" s="59">
        <v>99</v>
      </c>
      <c r="B104" s="60">
        <v>0.33670600000000001</v>
      </c>
      <c r="C104" s="60">
        <v>0.28742400000000001</v>
      </c>
    </row>
    <row r="105" spans="1:3" x14ac:dyDescent="0.25">
      <c r="A105" s="57">
        <v>100</v>
      </c>
      <c r="B105" s="58">
        <v>0.35354099999999999</v>
      </c>
      <c r="C105" s="58">
        <v>0.30467</v>
      </c>
    </row>
    <row r="106" spans="1:3" x14ac:dyDescent="0.25">
      <c r="A106" s="57">
        <v>101</v>
      </c>
      <c r="B106" s="58">
        <v>0.37121799999999999</v>
      </c>
      <c r="C106" s="58">
        <v>0.32295000000000001</v>
      </c>
    </row>
    <row r="107" spans="1:3" x14ac:dyDescent="0.25">
      <c r="A107" s="57">
        <v>102</v>
      </c>
      <c r="B107" s="58">
        <v>0.38977899999999999</v>
      </c>
      <c r="C107" s="58">
        <v>0.34232699999999999</v>
      </c>
    </row>
    <row r="108" spans="1:3" x14ac:dyDescent="0.25">
      <c r="A108" s="57">
        <v>103</v>
      </c>
      <c r="B108" s="58">
        <v>0.40926800000000002</v>
      </c>
      <c r="C108" s="58">
        <v>0.362867</v>
      </c>
    </row>
    <row r="109" spans="1:3" x14ac:dyDescent="0.25">
      <c r="A109" s="57">
        <v>104</v>
      </c>
      <c r="B109" s="58">
        <v>0.429732</v>
      </c>
      <c r="C109" s="58">
        <v>0.38463900000000001</v>
      </c>
    </row>
    <row r="110" spans="1:3" x14ac:dyDescent="0.25">
      <c r="A110" s="59">
        <v>105</v>
      </c>
      <c r="B110" s="60">
        <v>0.45121800000000001</v>
      </c>
      <c r="C110" s="60">
        <v>0.407717</v>
      </c>
    </row>
    <row r="111" spans="1:3" x14ac:dyDescent="0.25">
      <c r="A111" s="59">
        <v>106</v>
      </c>
      <c r="B111" s="60">
        <v>0.47377900000000001</v>
      </c>
      <c r="C111" s="60">
        <v>0.43218000000000001</v>
      </c>
    </row>
    <row r="112" spans="1:3" x14ac:dyDescent="0.25">
      <c r="A112" s="59">
        <v>107</v>
      </c>
      <c r="B112" s="60">
        <v>0.49746800000000002</v>
      </c>
      <c r="C112" s="60">
        <v>0.45811099999999999</v>
      </c>
    </row>
    <row r="113" spans="1:3" x14ac:dyDescent="0.25">
      <c r="A113" s="59">
        <v>108</v>
      </c>
      <c r="B113" s="60">
        <v>0.52234100000000006</v>
      </c>
      <c r="C113" s="60">
        <v>0.485597</v>
      </c>
    </row>
    <row r="114" spans="1:3" x14ac:dyDescent="0.25">
      <c r="A114" s="59">
        <v>109</v>
      </c>
      <c r="B114" s="60">
        <v>0.548458</v>
      </c>
      <c r="C114" s="60">
        <v>0.514733</v>
      </c>
    </row>
    <row r="115" spans="1:3" x14ac:dyDescent="0.25">
      <c r="A115" s="57">
        <v>110</v>
      </c>
      <c r="B115" s="58">
        <v>0.57588099999999998</v>
      </c>
      <c r="C115" s="58">
        <v>0.54561700000000002</v>
      </c>
    </row>
    <row r="116" spans="1:3" x14ac:dyDescent="0.25">
      <c r="A116" s="57">
        <v>111</v>
      </c>
      <c r="B116" s="58">
        <v>0.60467499999999996</v>
      </c>
      <c r="C116" s="58">
        <v>0.57835400000000003</v>
      </c>
    </row>
    <row r="117" spans="1:3" x14ac:dyDescent="0.25">
      <c r="A117" s="57">
        <v>112</v>
      </c>
      <c r="B117" s="58">
        <v>0.63490899999999995</v>
      </c>
      <c r="C117" s="58">
        <v>0.61305500000000002</v>
      </c>
    </row>
    <row r="118" spans="1:3" x14ac:dyDescent="0.25">
      <c r="A118" s="57">
        <v>113</v>
      </c>
      <c r="B118" s="58">
        <v>0.666655</v>
      </c>
      <c r="C118" s="58">
        <v>0.64983900000000006</v>
      </c>
    </row>
    <row r="119" spans="1:3" x14ac:dyDescent="0.25">
      <c r="A119" s="57">
        <v>114</v>
      </c>
      <c r="B119" s="58">
        <v>0.69998700000000003</v>
      </c>
      <c r="C119" s="58">
        <v>0.68882900000000002</v>
      </c>
    </row>
    <row r="120" spans="1:3" x14ac:dyDescent="0.25">
      <c r="A120" s="59">
        <v>115</v>
      </c>
      <c r="B120" s="60">
        <v>0.73498699999999995</v>
      </c>
      <c r="C120" s="60">
        <v>0.730159</v>
      </c>
    </row>
    <row r="121" spans="1:3" x14ac:dyDescent="0.25">
      <c r="A121" s="59">
        <v>116</v>
      </c>
      <c r="B121" s="60">
        <v>0.77173599999999998</v>
      </c>
      <c r="C121" s="60">
        <v>0.77173599999999998</v>
      </c>
    </row>
    <row r="122" spans="1:3" x14ac:dyDescent="0.25">
      <c r="A122" s="59">
        <v>117</v>
      </c>
      <c r="B122" s="60">
        <v>0.81032300000000002</v>
      </c>
      <c r="C122" s="60">
        <v>0.81032300000000002</v>
      </c>
    </row>
    <row r="123" spans="1:3" x14ac:dyDescent="0.25">
      <c r="A123" s="59">
        <v>118</v>
      </c>
      <c r="B123" s="60">
        <v>0.85083900000000001</v>
      </c>
      <c r="C123" s="60">
        <v>0.85083900000000001</v>
      </c>
    </row>
    <row r="124" spans="1:3" x14ac:dyDescent="0.25">
      <c r="A124" s="59">
        <v>119</v>
      </c>
      <c r="B124" s="60">
        <v>0.89338099999999998</v>
      </c>
      <c r="C124" s="60">
        <v>0.89338099999999998</v>
      </c>
    </row>
  </sheetData>
  <pageMargins left="0.7" right="0.7" top="0.75" bottom="0.75" header="0.3" footer="0.3"/>
  <pageSetup scale="86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About</vt:lpstr>
      <vt:lpstr>Input</vt:lpstr>
      <vt:lpstr>Output</vt:lpstr>
      <vt:lpstr>FinancialModelBuild</vt:lpstr>
      <vt:lpstr>FinancialModelWork</vt:lpstr>
      <vt:lpstr>DataTable Results</vt:lpstr>
      <vt:lpstr>LifeInsuranceModel</vt:lpstr>
      <vt:lpstr>Mortality Table</vt:lpstr>
      <vt:lpstr>'Mortality Table'!Print_Area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Nhan Vo</cp:lastModifiedBy>
  <cp:lastPrinted>2016-11-25T07:36:45Z</cp:lastPrinted>
  <dcterms:created xsi:type="dcterms:W3CDTF">2016-11-23T15:02:51Z</dcterms:created>
  <dcterms:modified xsi:type="dcterms:W3CDTF">2023-11-08T02:06:34Z</dcterms:modified>
</cp:coreProperties>
</file>